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키워드 검증" sheetId="1" state="visible" r:id="rId3"/>
    <sheet name="클러스터 요약" sheetId="2" state="visible" r:id="rId4"/>
    <sheet name="경쟁자 지형" sheetId="3" state="visible" r:id="rId5"/>
    <sheet name="검증가이드" sheetId="4" state="visible" r:id="rId6"/>
  </sheets>
  <definedNames>
    <definedName function="false" hidden="true" localSheetId="0" name="_xlnm._FilterDatabase" vbProcedure="false">'키워드 검증'!$A$4:$O$54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<sst xmlns="http://schemas.openxmlformats.org/spreadsheetml/2006/main" count="593" uniqueCount="216">
  <si>
    <r>
      <rPr>
        <b val="true"/>
        <sz val="14"/>
        <color rgb="FFFFFFFF"/>
        <rFont val="Arial"/>
        <family val="0"/>
        <charset val="1"/>
      </rPr>
      <t xml:space="preserve">BidEasy </t>
    </r>
    <r>
      <rPr>
        <b val="true"/>
        <sz val="14"/>
        <color rgb="FFFFFFFF"/>
        <rFont val="Noto Sans CJK SC"/>
        <family val="2"/>
        <charset val="1"/>
      </rPr>
      <t xml:space="preserve">키워드 검증 — 경쟁도</t>
    </r>
    <r>
      <rPr>
        <b val="true"/>
        <sz val="14"/>
        <color rgb="FFFFFFFF"/>
        <rFont val="Arial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  <charset val="1"/>
      </rPr>
      <t xml:space="preserve">볼륨</t>
    </r>
    <r>
      <rPr>
        <b val="true"/>
        <sz val="14"/>
        <color rgb="FFFFFFFF"/>
        <rFont val="Arial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  <charset val="1"/>
      </rPr>
      <t xml:space="preserve">우선순위 재조정</t>
    </r>
  </si>
  <si>
    <r>
      <rPr>
        <i val="true"/>
        <sz val="9"/>
        <color rgb="FF475467"/>
        <rFont val="Noto Sans CJK SC"/>
        <family val="2"/>
        <charset val="1"/>
      </rPr>
      <t xml:space="preserve">추정치 기반</t>
    </r>
    <r>
      <rPr>
        <i val="true"/>
        <sz val="9"/>
        <color rgb="FF475467"/>
        <rFont val="Arial"/>
        <family val="0"/>
        <charset val="1"/>
      </rPr>
      <t xml:space="preserve">(2026-06 </t>
    </r>
    <r>
      <rPr>
        <i val="true"/>
        <sz val="9"/>
        <color rgb="FF475467"/>
        <rFont val="Noto Sans CJK SC"/>
        <family val="2"/>
        <charset val="1"/>
      </rPr>
      <t xml:space="preserve">웹 </t>
    </r>
    <r>
      <rPr>
        <i val="true"/>
        <sz val="9"/>
        <color rgb="FF475467"/>
        <rFont val="Arial"/>
        <family val="0"/>
        <charset val="1"/>
      </rPr>
      <t xml:space="preserve">SERP </t>
    </r>
    <r>
      <rPr>
        <i val="true"/>
        <sz val="9"/>
        <color rgb="FF475467"/>
        <rFont val="Noto Sans CJK SC"/>
        <family val="2"/>
        <charset val="1"/>
      </rPr>
      <t xml:space="preserve">조사</t>
    </r>
    <r>
      <rPr>
        <i val="true"/>
        <sz val="9"/>
        <color rgb="FF475467"/>
        <rFont val="Arial"/>
        <family val="0"/>
        <charset val="1"/>
      </rPr>
      <t xml:space="preserve">). </t>
    </r>
    <r>
      <rPr>
        <i val="true"/>
        <sz val="9"/>
        <color rgb="FF475467"/>
        <rFont val="Noto Sans CJK SC"/>
        <family val="2"/>
        <charset val="1"/>
      </rPr>
      <t xml:space="preserve">검색량은 상대 티어이며 정확치는 네이버 검색광고 키워드도구 실측 필요 → </t>
    </r>
    <r>
      <rPr>
        <i val="true"/>
        <sz val="9"/>
        <color rgb="FF475467"/>
        <rFont val="Arial"/>
        <family val="0"/>
        <charset val="1"/>
      </rPr>
      <t xml:space="preserve">'</t>
    </r>
    <r>
      <rPr>
        <i val="true"/>
        <sz val="9"/>
        <color rgb="FF475467"/>
        <rFont val="Noto Sans CJK SC"/>
        <family val="2"/>
        <charset val="1"/>
      </rPr>
      <t xml:space="preserve">검증가이드</t>
    </r>
    <r>
      <rPr>
        <i val="true"/>
        <sz val="9"/>
        <color rgb="FF475467"/>
        <rFont val="Arial"/>
        <family val="0"/>
        <charset val="1"/>
      </rPr>
      <t xml:space="preserve">' </t>
    </r>
    <r>
      <rPr>
        <i val="true"/>
        <sz val="9"/>
        <color rgb="FF475467"/>
        <rFont val="Noto Sans CJK SC"/>
        <family val="2"/>
        <charset val="1"/>
      </rPr>
      <t xml:space="preserve">시트 참고</t>
    </r>
    <r>
      <rPr>
        <i val="true"/>
        <sz val="9"/>
        <color rgb="FF475467"/>
        <rFont val="Arial"/>
        <family val="0"/>
        <charset val="1"/>
      </rPr>
      <t xml:space="preserve">. </t>
    </r>
    <r>
      <rPr>
        <i val="true"/>
        <sz val="9"/>
        <color rgb="FF475467"/>
        <rFont val="Noto Sans CJK SC"/>
        <family val="2"/>
        <charset val="1"/>
      </rPr>
      <t xml:space="preserve">기회점수 </t>
    </r>
    <r>
      <rPr>
        <i val="true"/>
        <sz val="9"/>
        <color rgb="FF475467"/>
        <rFont val="Arial"/>
        <family val="0"/>
        <charset val="1"/>
      </rPr>
      <t xml:space="preserve">= </t>
    </r>
    <r>
      <rPr>
        <i val="true"/>
        <sz val="9"/>
        <color rgb="FF475467"/>
        <rFont val="Noto Sans CJK SC"/>
        <family val="2"/>
        <charset val="1"/>
      </rPr>
      <t xml:space="preserve">전환의도</t>
    </r>
    <r>
      <rPr>
        <i val="true"/>
        <sz val="9"/>
        <color rgb="FF475467"/>
        <rFont val="Arial"/>
        <family val="0"/>
        <charset val="1"/>
      </rPr>
      <t xml:space="preserve">P × </t>
    </r>
    <r>
      <rPr>
        <i val="true"/>
        <sz val="9"/>
        <color rgb="FF475467"/>
        <rFont val="Noto Sans CJK SC"/>
        <family val="2"/>
        <charset val="1"/>
      </rPr>
      <t xml:space="preserve">볼륨</t>
    </r>
    <r>
      <rPr>
        <i val="true"/>
        <sz val="9"/>
        <color rgb="FF475467"/>
        <rFont val="Arial"/>
        <family val="0"/>
        <charset val="1"/>
      </rPr>
      <t xml:space="preserve">P ÷ SEO</t>
    </r>
    <r>
      <rPr>
        <i val="true"/>
        <sz val="9"/>
        <color rgb="FF475467"/>
        <rFont val="Noto Sans CJK SC"/>
        <family val="2"/>
        <charset val="1"/>
      </rPr>
      <t xml:space="preserve">난이도</t>
    </r>
    <r>
      <rPr>
        <i val="true"/>
        <sz val="9"/>
        <color rgb="FF475467"/>
        <rFont val="Arial"/>
        <family val="0"/>
        <charset val="1"/>
      </rPr>
      <t xml:space="preserve">P (</t>
    </r>
    <r>
      <rPr>
        <i val="true"/>
        <sz val="9"/>
        <color rgb="FF475467"/>
        <rFont val="Noto Sans CJK SC"/>
        <family val="2"/>
        <charset val="1"/>
      </rPr>
      <t xml:space="preserve">높을수록 우선</t>
    </r>
    <r>
      <rPr>
        <i val="true"/>
        <sz val="9"/>
        <color rgb="FF475467"/>
        <rFont val="Arial"/>
        <family val="0"/>
        <charset val="1"/>
      </rPr>
      <t xml:space="preserve">)</t>
    </r>
  </si>
  <si>
    <t xml:space="preserve">번호</t>
  </si>
  <si>
    <t xml:space="preserve">클러스터</t>
  </si>
  <si>
    <t xml:space="preserve">키워드</t>
  </si>
  <si>
    <t xml:space="preserve">검색의도</t>
  </si>
  <si>
    <t xml:space="preserve">퍼널</t>
  </si>
  <si>
    <t xml:space="preserve">추정
볼륨</t>
  </si>
  <si>
    <r>
      <rPr>
        <b val="true"/>
        <sz val="9"/>
        <color rgb="FFFFFFFF"/>
        <rFont val="Noto Sans CJK SC"/>
        <family val="2"/>
        <charset val="1"/>
      </rPr>
      <t xml:space="preserve">볼륨
</t>
    </r>
    <r>
      <rPr>
        <b val="true"/>
        <sz val="9"/>
        <color rgb="FFFFFFFF"/>
        <rFont val="Arial"/>
        <family val="0"/>
        <charset val="1"/>
      </rPr>
      <t xml:space="preserve">P</t>
    </r>
  </si>
  <si>
    <r>
      <rPr>
        <b val="true"/>
        <sz val="9"/>
        <color rgb="FFFFFFFF"/>
        <rFont val="Arial"/>
        <family val="0"/>
        <charset val="1"/>
      </rPr>
      <t xml:space="preserve">SEO</t>
    </r>
    <r>
      <rPr>
        <b val="true"/>
        <sz val="9"/>
        <color rgb="FFFFFFFF"/>
        <rFont val="Noto Sans CJK SC"/>
        <family val="2"/>
        <charset val="1"/>
      </rPr>
      <t xml:space="preserve">난이도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  <charset val="1"/>
      </rPr>
      <t xml:space="preserve">재평가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</si>
  <si>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  <charset val="1"/>
      </rPr>
      <t xml:space="preserve">난이도
</t>
    </r>
    <r>
      <rPr>
        <b val="true"/>
        <sz val="9"/>
        <color rgb="FFFFFFFF"/>
        <rFont val="Arial"/>
        <family val="0"/>
        <charset val="1"/>
      </rPr>
      <t xml:space="preserve">P</t>
    </r>
  </si>
  <si>
    <r>
      <rPr>
        <b val="true"/>
        <sz val="9"/>
        <color rgb="FFFFFFFF"/>
        <rFont val="Noto Sans CJK SC"/>
        <family val="2"/>
        <charset val="1"/>
      </rPr>
      <t xml:space="preserve">전환
의도</t>
    </r>
    <r>
      <rPr>
        <b val="true"/>
        <sz val="9"/>
        <color rgb="FFFFFFFF"/>
        <rFont val="Arial"/>
        <family val="0"/>
        <charset val="1"/>
      </rPr>
      <t xml:space="preserve">P</t>
    </r>
  </si>
  <si>
    <t xml:space="preserve">주요 경쟁자 유형</t>
  </si>
  <si>
    <t xml:space="preserve">기회
점수</t>
  </si>
  <si>
    <t xml:space="preserve">원래
우선순위</t>
  </si>
  <si>
    <t xml:space="preserve">재조정
우선순위</t>
  </si>
  <si>
    <t xml:space="preserve">비고</t>
  </si>
  <si>
    <r>
      <rPr>
        <sz val="9"/>
        <rFont val="Arial"/>
        <family val="0"/>
        <charset val="1"/>
      </rPr>
      <t xml:space="preserve">A.</t>
    </r>
    <r>
      <rPr>
        <sz val="9"/>
        <rFont val="Noto Sans CJK SC"/>
        <family val="2"/>
        <charset val="1"/>
      </rPr>
      <t xml:space="preserve">입문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기초</t>
    </r>
  </si>
  <si>
    <t xml:space="preserve">나라장터 입찰 방법</t>
  </si>
  <si>
    <t xml:space="preserve">정보</t>
  </si>
  <si>
    <t xml:space="preserve">인지</t>
  </si>
  <si>
    <t xml:space="preserve">상</t>
  </si>
  <si>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산군</t>
    </r>
    <r>
      <rPr>
        <sz val="9"/>
        <rFont val="Arial"/>
        <family val="0"/>
        <charset val="1"/>
      </rPr>
      <t xml:space="preserve">·MyBidWise</t>
    </r>
  </si>
  <si>
    <t xml:space="preserve">P2</t>
  </si>
  <si>
    <t xml:space="preserve">P3</t>
  </si>
  <si>
    <r>
      <rPr>
        <sz val="9"/>
        <rFont val="Noto Sans CJK SC"/>
        <family val="2"/>
        <charset val="1"/>
      </rPr>
      <t xml:space="preserve">대형 정보키워드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기존블로그 점유 매우높음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볼륨 크나 전환 약 → 후순위</t>
    </r>
  </si>
  <si>
    <t xml:space="preserve">나라장터 회원가입 방법</t>
  </si>
  <si>
    <t xml:space="preserve">중</t>
  </si>
  <si>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블로그</t>
    </r>
  </si>
  <si>
    <t xml:space="preserve">유지</t>
  </si>
  <si>
    <t xml:space="preserve">나라장터 입찰 참가 자격</t>
  </si>
  <si>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행정사</t>
    </r>
  </si>
  <si>
    <r>
      <rPr>
        <sz val="9"/>
        <rFont val="Noto Sans CJK SC"/>
        <family val="2"/>
        <charset val="1"/>
      </rPr>
      <t xml:space="preserve">자격 기능 연계 가치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행정사 강세지만 차별점 살리면 유지</t>
    </r>
  </si>
  <si>
    <t xml:space="preserve">조달 등록 방법</t>
  </si>
  <si>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(pps.go.kr)</t>
    </r>
  </si>
  <si>
    <r>
      <rPr>
        <sz val="9"/>
        <rFont val="Noto Sans CJK SC"/>
        <family val="2"/>
        <charset val="1"/>
      </rPr>
      <t xml:space="preserve">정부 페이지 강세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  <charset val="1"/>
      </rPr>
      <t xml:space="preserve">사실상 </t>
    </r>
    <r>
      <rPr>
        <sz val="9"/>
        <rFont val="Arial"/>
        <family val="0"/>
        <charset val="1"/>
      </rPr>
      <t xml:space="preserve">outrank </t>
    </r>
    <r>
      <rPr>
        <sz val="9"/>
        <rFont val="Noto Sans CJK SC"/>
        <family val="2"/>
        <charset val="1"/>
      </rPr>
      <t xml:space="preserve">어려움</t>
    </r>
  </si>
  <si>
    <t xml:space="preserve">나라장터 사용법</t>
  </si>
  <si>
    <r>
      <rPr>
        <sz val="9"/>
        <rFont val="Noto Sans CJK SC"/>
        <family val="2"/>
        <charset val="1"/>
      </rPr>
      <t xml:space="preserve">블로그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정부</t>
    </r>
  </si>
  <si>
    <r>
      <rPr>
        <sz val="9"/>
        <rFont val="Noto Sans CJK SC"/>
        <family val="2"/>
        <charset val="1"/>
      </rPr>
      <t xml:space="preserve">광범위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전환 약 → 후순위</t>
    </r>
  </si>
  <si>
    <t xml:space="preserve">공공입찰 초보 가이드</t>
  </si>
  <si>
    <t xml:space="preserve">블로그</t>
  </si>
  <si>
    <t xml:space="preserve">전환 약 → 후순위</t>
  </si>
  <si>
    <t xml:space="preserve">나라장터 업종코드 등록</t>
  </si>
  <si>
    <t xml:space="preserve">하</t>
  </si>
  <si>
    <t xml:space="preserve">블로그 소수</t>
  </si>
  <si>
    <r>
      <rPr>
        <sz val="9"/>
        <rFont val="Noto Sans CJK SC"/>
        <family val="2"/>
        <charset val="1"/>
      </rPr>
      <t xml:space="preserve">롱테일 저경쟁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  <charset val="1"/>
      </rPr>
      <t xml:space="preserve">빠른 색인용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볼륨 작음</t>
    </r>
  </si>
  <si>
    <t xml:space="preserve">입찰 참가 필요 서류</t>
  </si>
  <si>
    <r>
      <rPr>
        <sz val="9"/>
        <rFont val="Arial"/>
        <family val="0"/>
        <charset val="1"/>
      </rPr>
      <t xml:space="preserve">B.</t>
    </r>
    <r>
      <rPr>
        <sz val="9"/>
        <rFont val="Noto Sans CJK SC"/>
        <family val="2"/>
        <charset val="1"/>
      </rPr>
      <t xml:space="preserve">투찰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가격</t>
    </r>
  </si>
  <si>
    <t xml:space="preserve">투찰 가격 산정 방법</t>
  </si>
  <si>
    <t xml:space="preserve">고려</t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</si>
  <si>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21C·vgi·</t>
    </r>
    <r>
      <rPr>
        <sz val="9"/>
        <rFont val="Noto Sans CJK SC"/>
        <family val="2"/>
        <charset val="1"/>
      </rPr>
      <t xml:space="preserve">아이건설넷</t>
    </r>
  </si>
  <si>
    <t xml:space="preserve">P1</t>
  </si>
  <si>
    <r>
      <rPr>
        <sz val="9"/>
        <rFont val="Noto Sans CJK SC"/>
        <family val="2"/>
        <charset val="1"/>
      </rPr>
      <t xml:space="preserve">핵심 차별점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계산기 보유 경쟁자 강세 → 깊이있게 써야 함</t>
    </r>
  </si>
  <si>
    <t xml:space="preserve">적격심사 점수 계산</t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</si>
  <si>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 </t>
    </r>
    <r>
      <rPr>
        <sz val="9"/>
        <rFont val="Noto Sans CJK SC"/>
        <family val="2"/>
        <charset val="1"/>
      </rPr>
      <t xml:space="preserve">적격심사계산기</t>
    </r>
  </si>
  <si>
    <r>
      <rPr>
        <sz val="9"/>
        <rFont val="Noto Sans CJK SC"/>
        <family val="2"/>
        <charset val="1"/>
      </rPr>
      <t xml:space="preserve">계산기가 </t>
    </r>
    <r>
      <rPr>
        <sz val="9"/>
        <rFont val="Arial"/>
        <family val="0"/>
        <charset val="1"/>
      </rPr>
      <t xml:space="preserve">SERP </t>
    </r>
    <r>
      <rPr>
        <sz val="9"/>
        <rFont val="Noto Sans CJK SC"/>
        <family val="2"/>
        <charset val="1"/>
      </rPr>
      <t xml:space="preserve">점유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난이도 높아 강등</t>
    </r>
  </si>
  <si>
    <t xml:space="preserve">낙찰하한율</t>
  </si>
  <si>
    <r>
      <rPr>
        <sz val="9"/>
        <rFont val="Arial"/>
        <family val="0"/>
        <charset val="1"/>
      </rPr>
      <t xml:space="preserve">★2026.1.30 </t>
    </r>
    <r>
      <rPr>
        <sz val="9"/>
        <rFont val="Noto Sans CJK SC"/>
        <family val="2"/>
        <charset val="1"/>
      </rPr>
      <t xml:space="preserve">상향</t>
    </r>
    <r>
      <rPr>
        <sz val="9"/>
        <rFont val="Arial"/>
        <family val="0"/>
        <charset val="1"/>
      </rPr>
      <t xml:space="preserve">(10</t>
    </r>
    <r>
      <rPr>
        <sz val="9"/>
        <rFont val="Noto Sans CJK SC"/>
        <family val="2"/>
        <charset val="1"/>
      </rPr>
      <t xml:space="preserve">억미만 </t>
    </r>
    <r>
      <rPr>
        <sz val="9"/>
        <rFont val="Arial"/>
        <family val="0"/>
        <charset val="1"/>
      </rPr>
      <t xml:space="preserve">87.745→89.745%) </t>
    </r>
    <r>
      <rPr>
        <sz val="9"/>
        <rFont val="Noto Sans CJK SC"/>
        <family val="2"/>
        <charset val="1"/>
      </rPr>
      <t xml:space="preserve">최신이슈—신선도로 상위 가능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우선 발행</t>
    </r>
  </si>
  <si>
    <t xml:space="preserve">사정율 계산</t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</si>
  <si>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21C·</t>
    </r>
    <r>
      <rPr>
        <sz val="9"/>
        <rFont val="Noto Sans CJK SC"/>
        <family val="2"/>
        <charset val="1"/>
      </rPr>
      <t xml:space="preserve">블로그</t>
    </r>
  </si>
  <si>
    <t xml:space="preserve">복수예비가격</t>
  </si>
  <si>
    <t xml:space="preserve">기초금액 보는 법</t>
  </si>
  <si>
    <t xml:space="preserve">소수</t>
  </si>
  <si>
    <r>
      <rPr>
        <sz val="9"/>
        <rFont val="Noto Sans CJK SC"/>
        <family val="2"/>
        <charset val="1"/>
      </rPr>
      <t xml:space="preserve">제품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오버레이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  <charset val="1"/>
      </rPr>
      <t xml:space="preserve">적합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저경쟁 → 좋은 타깃</t>
    </r>
  </si>
  <si>
    <t xml:space="preserve">예정가격 추정</t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</si>
  <si>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21C·vgi</t>
    </r>
  </si>
  <si>
    <r>
      <rPr>
        <sz val="9"/>
        <rFont val="Noto Sans CJK SC"/>
        <family val="2"/>
        <charset val="1"/>
      </rPr>
      <t xml:space="preserve">⚠️브랜드 충돌</t>
    </r>
    <r>
      <rPr>
        <sz val="9"/>
        <rFont val="Arial"/>
        <family val="0"/>
        <charset val="1"/>
      </rPr>
      <t xml:space="preserve">: '</t>
    </r>
    <r>
      <rPr>
        <sz val="9"/>
        <rFont val="Noto Sans CJK SC"/>
        <family val="2"/>
        <charset val="1"/>
      </rPr>
      <t xml:space="preserve">낙찰가 예측 안함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  <charset val="1"/>
      </rPr>
      <t xml:space="preserve">포지션과 모순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리프레이밍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제외 검토</t>
    </r>
  </si>
  <si>
    <t xml:space="preserve">적격심사 낙찰 기준</t>
  </si>
  <si>
    <t xml:space="preserve">투찰률 계산기</t>
  </si>
  <si>
    <t xml:space="preserve">거래</t>
  </si>
  <si>
    <t xml:space="preserve">전환</t>
  </si>
  <si>
    <r>
      <rPr>
        <sz val="9"/>
        <rFont val="Arial"/>
        <family val="0"/>
        <charset val="1"/>
      </rPr>
      <t xml:space="preserve">vgi·</t>
    </r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 </t>
    </r>
    <r>
      <rPr>
        <sz val="9"/>
        <rFont val="Noto Sans CJK SC"/>
        <family val="2"/>
        <charset val="1"/>
      </rPr>
      <t xml:space="preserve">계산기</t>
    </r>
  </si>
  <si>
    <r>
      <rPr>
        <sz val="9"/>
        <rFont val="Noto Sans CJK SC"/>
        <family val="2"/>
        <charset val="1"/>
      </rPr>
      <t xml:space="preserve">제품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  <charset val="1"/>
      </rPr>
      <t xml:space="preserve">계산기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  <charset val="1"/>
      </rPr>
      <t xml:space="preserve">전환 직결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</si>
  <si>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입찰 가격 전략</t>
  </si>
  <si>
    <r>
      <rPr>
        <sz val="9"/>
        <rFont val="Noto Sans CJK SC"/>
        <family val="2"/>
        <charset val="1"/>
      </rPr>
      <t xml:space="preserve">정보성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전환 중 → 강등</t>
    </r>
  </si>
  <si>
    <r>
      <rPr>
        <sz val="9"/>
        <rFont val="Arial"/>
        <family val="0"/>
        <charset val="1"/>
      </rPr>
      <t xml:space="preserve">C.</t>
    </r>
    <r>
      <rPr>
        <sz val="9"/>
        <rFont val="Noto Sans CJK SC"/>
        <family val="2"/>
        <charset val="1"/>
      </rPr>
      <t xml:space="preserve">자격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가점</t>
    </r>
  </si>
  <si>
    <t xml:space="preserve">직접생산확인서 발급</t>
  </si>
  <si>
    <r>
      <rPr>
        <sz val="9"/>
        <rFont val="Noto Sans CJK SC"/>
        <family val="2"/>
        <charset val="1"/>
      </rPr>
      <t xml:space="preserve">중기유통센터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행정사</t>
    </r>
  </si>
  <si>
    <r>
      <rPr>
        <sz val="9"/>
        <rFont val="Noto Sans CJK SC"/>
        <family val="2"/>
        <charset val="1"/>
      </rPr>
      <t xml:space="preserve">정부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행정사 강세 → 강등</t>
    </r>
  </si>
  <si>
    <t xml:space="preserve">중소기업확인서 발급</t>
  </si>
  <si>
    <t xml:space="preserve">정부</t>
  </si>
  <si>
    <t xml:space="preserve">이노비즈 인증 입찰 가점</t>
  </si>
  <si>
    <t xml:space="preserve">여성기업 입찰 가점</t>
  </si>
  <si>
    <r>
      <rPr>
        <sz val="9"/>
        <rFont val="Noto Sans CJK SC"/>
        <family val="2"/>
        <charset val="1"/>
      </rPr>
      <t xml:space="preserve">다수공급자계약 </t>
    </r>
    <r>
      <rPr>
        <sz val="9"/>
        <rFont val="Arial"/>
        <family val="0"/>
        <charset val="1"/>
      </rPr>
      <t xml:space="preserve">MAS </t>
    </r>
    <r>
      <rPr>
        <sz val="9"/>
        <rFont val="Noto Sans CJK SC"/>
        <family val="2"/>
        <charset val="1"/>
      </rPr>
      <t xml:space="preserve">등록</t>
    </r>
  </si>
  <si>
    <t xml:space="preserve">조달청 우수제품 등록</t>
  </si>
  <si>
    <t xml:space="preserve">입찰 가점 항목</t>
  </si>
  <si>
    <t xml:space="preserve">집계형 콘텐츠 저경쟁 → 유지</t>
  </si>
  <si>
    <t xml:space="preserve">공사 면허 입찰</t>
  </si>
  <si>
    <r>
      <rPr>
        <sz val="9"/>
        <rFont val="Noto Sans CJK SC"/>
        <family val="2"/>
        <charset val="1"/>
      </rPr>
      <t xml:space="preserve">제품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면허제한 자동표시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  <charset val="1"/>
      </rPr>
      <t xml:space="preserve">적합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</si>
  <si>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소상공인 확인서 입찰</t>
  </si>
  <si>
    <r>
      <rPr>
        <sz val="9"/>
        <rFont val="Arial"/>
        <family val="0"/>
        <charset val="1"/>
      </rPr>
      <t xml:space="preserve">D.</t>
    </r>
    <r>
      <rPr>
        <sz val="9"/>
        <rFont val="Noto Sans CJK SC"/>
        <family val="2"/>
        <charset val="1"/>
      </rPr>
      <t xml:space="preserve">공고탐색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알림</t>
    </r>
  </si>
  <si>
    <t xml:space="preserve">나라장터 입찰공고 검색</t>
  </si>
  <si>
    <r>
      <rPr>
        <sz val="9"/>
        <rFont val="Noto Sans CJK SC"/>
        <family val="2"/>
        <charset val="1"/>
      </rPr>
      <t xml:space="preserve">지투비플러스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21C·</t>
    </r>
    <r>
      <rPr>
        <sz val="9"/>
        <rFont val="Noto Sans CJK SC"/>
        <family val="2"/>
        <charset val="1"/>
      </rPr>
      <t xml:space="preserve">정부</t>
    </r>
  </si>
  <si>
    <r>
      <rPr>
        <sz val="9"/>
        <rFont val="Noto Sans CJK SC"/>
        <family val="2"/>
        <charset val="1"/>
      </rPr>
      <t xml:space="preserve">핵심 가치이나 대형 경쟁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난이도 인지</t>
    </r>
    <r>
      <rPr>
        <sz val="9"/>
        <rFont val="Arial"/>
        <family val="0"/>
        <charset val="1"/>
      </rPr>
      <t xml:space="preserve">)</t>
    </r>
  </si>
  <si>
    <t xml:space="preserve">입찰공고 알림 설정</t>
  </si>
  <si>
    <r>
      <rPr>
        <sz val="9"/>
        <rFont val="Noto Sans CJK SC"/>
        <family val="2"/>
        <charset val="1"/>
      </rPr>
      <t xml:space="preserve">산군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크몽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하나셀</t>
    </r>
  </si>
  <si>
    <r>
      <rPr>
        <sz val="9"/>
        <rFont val="Noto Sans CJK SC"/>
        <family val="2"/>
        <charset val="1"/>
      </rPr>
      <t xml:space="preserve">★최적합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전환 직결 → 최우선</t>
    </r>
  </si>
  <si>
    <t xml:space="preserve">나라장터 키워드 알림</t>
  </si>
  <si>
    <r>
      <rPr>
        <sz val="9"/>
        <rFont val="Noto Sans CJK SC"/>
        <family val="2"/>
        <charset val="1"/>
      </rPr>
      <t xml:space="preserve">크몽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하나셀</t>
    </r>
  </si>
  <si>
    <r>
      <rPr>
        <sz val="9"/>
        <rFont val="Noto Sans CJK SC"/>
        <family val="2"/>
        <charset val="1"/>
      </rPr>
      <t xml:space="preserve">★카톡 알림 기능 직결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</si>
  <si>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입찰 공고 모아보기</t>
  </si>
  <si>
    <t xml:space="preserve">거의 없음</t>
  </si>
  <si>
    <r>
      <rPr>
        <sz val="9"/>
        <rFont val="Noto Sans CJK SC"/>
        <family val="2"/>
        <charset val="1"/>
      </rPr>
      <t xml:space="preserve">저경쟁 빠른 승리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볼륨 작음</t>
    </r>
  </si>
  <si>
    <t xml:space="preserve">나라장터 관심공고 관리</t>
  </si>
  <si>
    <t xml:space="preserve">볼륨 작음 → 약강등</t>
  </si>
  <si>
    <t xml:space="preserve">업종별 입찰공고</t>
  </si>
  <si>
    <t xml:space="preserve">지역별 입찰공고</t>
  </si>
  <si>
    <r>
      <rPr>
        <sz val="9"/>
        <rFont val="Noto Sans CJK SC"/>
        <family val="2"/>
        <charset val="1"/>
      </rPr>
      <t xml:space="preserve">제품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지역 자동표시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  <charset val="1"/>
      </rPr>
      <t xml:space="preserve">적합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</si>
  <si>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공고 놓치지 않는 법</t>
  </si>
  <si>
    <r>
      <rPr>
        <sz val="9"/>
        <rFont val="Noto Sans CJK SC"/>
        <family val="2"/>
        <charset val="1"/>
      </rPr>
      <t xml:space="preserve">페인포인트 앵글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저경쟁 → 좋은 타깃</t>
    </r>
  </si>
  <si>
    <t xml:space="preserve">입찰 마감 임박 알림</t>
  </si>
  <si>
    <r>
      <rPr>
        <sz val="9"/>
        <rFont val="Noto Sans CJK SC"/>
        <family val="2"/>
        <charset val="1"/>
      </rPr>
      <t xml:space="preserve">제품 적합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저볼륨 → 약강등</t>
    </r>
  </si>
  <si>
    <t xml:space="preserve">입찰 일정 관리</t>
  </si>
  <si>
    <r>
      <rPr>
        <sz val="9"/>
        <rFont val="Arial"/>
        <family val="0"/>
        <charset val="1"/>
      </rPr>
      <t xml:space="preserve">E.</t>
    </r>
    <r>
      <rPr>
        <sz val="9"/>
        <rFont val="Noto Sans CJK SC"/>
        <family val="2"/>
        <charset val="1"/>
      </rPr>
      <t xml:space="preserve">개찰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낙찰분석</t>
    </r>
  </si>
  <si>
    <t xml:space="preserve">개찰 결과 확인</t>
  </si>
  <si>
    <t xml:space="preserve">낙찰 결과 조회</t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</si>
  <si>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 </t>
    </r>
    <r>
      <rPr>
        <sz val="9"/>
        <rFont val="Noto Sans CJK SC"/>
        <family val="2"/>
        <charset val="1"/>
      </rPr>
      <t xml:space="preserve">낙찰</t>
    </r>
    <r>
      <rPr>
        <sz val="9"/>
        <rFont val="Arial"/>
        <family val="0"/>
        <charset val="1"/>
      </rPr>
      <t xml:space="preserve">DB(4</t>
    </r>
    <r>
      <rPr>
        <sz val="9"/>
        <rFont val="Noto Sans CJK SC"/>
        <family val="2"/>
        <charset val="1"/>
      </rPr>
      <t xml:space="preserve">만건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</si>
  <si>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DB </t>
    </r>
    <r>
      <rPr>
        <sz val="9"/>
        <rFont val="Noto Sans CJK SC"/>
        <family val="2"/>
        <charset val="1"/>
      </rPr>
      <t xml:space="preserve">보유 경쟁자 강세 → 강등</t>
    </r>
  </si>
  <si>
    <t xml:space="preserve">낙찰 통계 분석</t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</si>
  <si>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</t>
    </r>
  </si>
  <si>
    <r>
      <rPr>
        <sz val="9"/>
        <rFont val="Noto Sans CJK SC"/>
        <family val="2"/>
        <charset val="1"/>
      </rPr>
      <t xml:space="preserve">제품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투찰가 분석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  <charset val="1"/>
      </rPr>
      <t xml:space="preserve">적합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</si>
  <si>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경쟁업체 입찰 분석</t>
  </si>
  <si>
    <r>
      <rPr>
        <sz val="9"/>
        <rFont val="Arial"/>
        <family val="0"/>
        <charset val="1"/>
      </rPr>
      <t xml:space="preserve">Pro </t>
    </r>
    <r>
      <rPr>
        <sz val="9"/>
        <rFont val="Noto Sans CJK SC"/>
        <family val="2"/>
        <charset val="1"/>
      </rPr>
      <t xml:space="preserve">기능 적합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저볼륨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</si>
  <si>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나라장터 개찰현황</t>
  </si>
  <si>
    <t xml:space="preserve">입찰 결과 데이터 활용</t>
  </si>
  <si>
    <r>
      <rPr>
        <sz val="9"/>
        <rFont val="Arial"/>
        <family val="0"/>
        <charset val="1"/>
      </rPr>
      <t xml:space="preserve">F.</t>
    </r>
    <r>
      <rPr>
        <sz val="9"/>
        <rFont val="Noto Sans CJK SC"/>
        <family val="2"/>
        <charset val="1"/>
      </rPr>
      <t xml:space="preserve">도구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비교</t>
    </r>
  </si>
  <si>
    <t xml:space="preserve">나라장터 크롬 확장프로그램</t>
  </si>
  <si>
    <r>
      <rPr>
        <sz val="9"/>
        <rFont val="Noto Sans CJK SC"/>
        <family val="2"/>
        <charset val="1"/>
      </rPr>
      <t xml:space="preserve">나라장터 딥링크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크몽</t>
    </r>
  </si>
  <si>
    <r>
      <rPr>
        <sz val="9"/>
        <rFont val="Arial"/>
        <family val="0"/>
        <charset val="1"/>
      </rPr>
      <t xml:space="preserve">★★BidEasy </t>
    </r>
    <r>
      <rPr>
        <sz val="9"/>
        <rFont val="Noto Sans CJK SC"/>
        <family val="2"/>
        <charset val="1"/>
      </rPr>
      <t xml:space="preserve">자체가 정답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전환 직결 → 최우선</t>
    </r>
  </si>
  <si>
    <t xml:space="preserve">입찰 정보 사이트 비교</t>
  </si>
  <si>
    <t xml:space="preserve">탐색</t>
  </si>
  <si>
    <r>
      <rPr>
        <sz val="9"/>
        <rFont val="Noto Sans CJK SC"/>
        <family val="2"/>
        <charset val="1"/>
      </rPr>
      <t xml:space="preserve">블로그</t>
    </r>
    <r>
      <rPr>
        <sz val="9"/>
        <rFont val="Arial"/>
        <family val="0"/>
        <charset val="1"/>
      </rPr>
      <t xml:space="preserve">·MyBidWise</t>
    </r>
  </si>
  <si>
    <r>
      <rPr>
        <sz val="9"/>
        <rFont val="Noto Sans CJK SC"/>
        <family val="2"/>
        <charset val="1"/>
      </rPr>
      <t xml:space="preserve">★비교 키워드 고전환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</si>
  <si>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지투비플러스 대안</t>
  </si>
  <si>
    <r>
      <rPr>
        <sz val="9"/>
        <rFont val="Noto Sans CJK SC"/>
        <family val="2"/>
        <charset val="1"/>
      </rPr>
      <t xml:space="preserve">★브랜드방어 공백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손쉬운 승리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</si>
  <si>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r>
      <rPr>
        <sz val="9"/>
        <rFont val="Noto Sans CJK SC"/>
        <family val="2"/>
        <charset val="1"/>
      </rPr>
      <t xml:space="preserve">인포</t>
    </r>
    <r>
      <rPr>
        <sz val="9"/>
        <rFont val="Arial"/>
        <family val="0"/>
        <charset val="1"/>
      </rPr>
      <t xml:space="preserve">21C </t>
    </r>
    <r>
      <rPr>
        <sz val="9"/>
        <rFont val="Noto Sans CJK SC"/>
        <family val="2"/>
        <charset val="1"/>
      </rPr>
      <t xml:space="preserve">비교</t>
    </r>
  </si>
  <si>
    <r>
      <rPr>
        <sz val="9"/>
        <rFont val="Noto Sans CJK SC"/>
        <family val="2"/>
        <charset val="1"/>
      </rPr>
      <t xml:space="preserve">★동일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  <charset val="1"/>
      </rPr>
      <t xml:space="preserve">유지</t>
    </r>
  </si>
  <si>
    <t xml:space="preserve">입찰 알리미 추천</t>
  </si>
  <si>
    <t xml:space="preserve">입찰 관리 프로그램</t>
  </si>
  <si>
    <r>
      <rPr>
        <sz val="9"/>
        <rFont val="Noto Sans CJK SC"/>
        <family val="2"/>
        <charset val="1"/>
      </rPr>
      <t xml:space="preserve">블로그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크몽</t>
    </r>
  </si>
  <si>
    <t xml:space="preserve">나라장터 자동화</t>
  </si>
  <si>
    <r>
      <rPr>
        <b val="true"/>
        <sz val="13"/>
        <color rgb="FFFFFFFF"/>
        <rFont val="Noto Sans CJK SC"/>
        <family val="2"/>
        <charset val="1"/>
      </rPr>
      <t xml:space="preserve">클러스터별 우선순위 분포 </t>
    </r>
    <r>
      <rPr>
        <b val="true"/>
        <sz val="13"/>
        <color rgb="FFFFFFFF"/>
        <rFont val="Arial"/>
        <family val="0"/>
        <charset val="1"/>
      </rPr>
      <t xml:space="preserve">&amp; </t>
    </r>
    <r>
      <rPr>
        <b val="true"/>
        <sz val="13"/>
        <color rgb="FFFFFFFF"/>
        <rFont val="Noto Sans CJK SC"/>
        <family val="2"/>
        <charset val="1"/>
      </rPr>
      <t xml:space="preserve">전략 방향</t>
    </r>
  </si>
  <si>
    <t xml:space="preserve">키워드 수</t>
  </si>
  <si>
    <r>
      <rPr>
        <b val="true"/>
        <sz val="10"/>
        <color rgb="FFFFFFFF"/>
        <rFont val="Noto Sans CJK SC"/>
        <family val="2"/>
        <charset val="1"/>
      </rPr>
      <t xml:space="preserve">재조정 </t>
    </r>
    <r>
      <rPr>
        <b val="true"/>
        <sz val="10"/>
        <color rgb="FFFFFFFF"/>
        <rFont val="Arial"/>
        <family val="0"/>
        <charset val="1"/>
      </rPr>
      <t xml:space="preserve">P1</t>
    </r>
  </si>
  <si>
    <r>
      <rPr>
        <b val="true"/>
        <sz val="10"/>
        <color rgb="FFFFFFFF"/>
        <rFont val="Noto Sans CJK SC"/>
        <family val="2"/>
        <charset val="1"/>
      </rPr>
      <t xml:space="preserve">재조정 </t>
    </r>
    <r>
      <rPr>
        <b val="true"/>
        <sz val="10"/>
        <color rgb="FFFFFFFF"/>
        <rFont val="Arial"/>
        <family val="0"/>
        <charset val="1"/>
      </rPr>
      <t xml:space="preserve">P2</t>
    </r>
  </si>
  <si>
    <r>
      <rPr>
        <b val="true"/>
        <sz val="10"/>
        <color rgb="FFFFFFFF"/>
        <rFont val="Noto Sans CJK SC"/>
        <family val="2"/>
        <charset val="1"/>
      </rPr>
      <t xml:space="preserve">재조정 </t>
    </r>
    <r>
      <rPr>
        <b val="true"/>
        <sz val="10"/>
        <color rgb="FFFFFFFF"/>
        <rFont val="Arial"/>
        <family val="0"/>
        <charset val="1"/>
      </rPr>
      <t xml:space="preserve">P3</t>
    </r>
  </si>
  <si>
    <t xml:space="preserve">권장 전략</t>
  </si>
  <si>
    <r>
      <rPr>
        <sz val="10"/>
        <rFont val="Arial"/>
        <family val="0"/>
        <charset val="1"/>
      </rPr>
      <t xml:space="preserve">A.</t>
    </r>
    <r>
      <rPr>
        <sz val="10"/>
        <rFont val="Noto Sans CJK SC"/>
        <family val="2"/>
        <charset val="1"/>
      </rPr>
      <t xml:space="preserve">입문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기초</t>
    </r>
  </si>
  <si>
    <r>
      <rPr>
        <sz val="10"/>
        <rFont val="Noto Sans CJK SC"/>
        <family val="2"/>
        <charset val="1"/>
      </rPr>
      <t xml:space="preserve">정부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대형블로그 점유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볼륨 크나 전환 약 → 후순위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자동발행 슬롯</t>
    </r>
  </si>
  <si>
    <r>
      <rPr>
        <sz val="10"/>
        <rFont val="Arial"/>
        <family val="0"/>
        <charset val="1"/>
      </rPr>
      <t xml:space="preserve">B.</t>
    </r>
    <r>
      <rPr>
        <sz val="10"/>
        <rFont val="Noto Sans CJK SC"/>
        <family val="2"/>
        <charset val="1"/>
      </rPr>
      <t xml:space="preserve">투찰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가격</t>
    </r>
  </si>
  <si>
    <r>
      <rPr>
        <sz val="10"/>
        <rFont val="Noto Sans CJK SC"/>
        <family val="2"/>
        <charset val="1"/>
      </rPr>
      <t xml:space="preserve">핵심 차별점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계산기 경쟁 치열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낙찰하한율 </t>
    </r>
    <r>
      <rPr>
        <sz val="10"/>
        <rFont val="Arial"/>
        <family val="0"/>
        <charset val="1"/>
      </rPr>
      <t xml:space="preserve">2026'·'</t>
    </r>
    <r>
      <rPr>
        <sz val="10"/>
        <rFont val="Noto Sans CJK SC"/>
        <family val="2"/>
        <charset val="1"/>
      </rPr>
      <t xml:space="preserve">기초금액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같은 저경쟁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신선 키워드로 진입</t>
    </r>
  </si>
  <si>
    <r>
      <rPr>
        <sz val="10"/>
        <rFont val="Arial"/>
        <family val="0"/>
        <charset val="1"/>
      </rPr>
      <t xml:space="preserve">C.</t>
    </r>
    <r>
      <rPr>
        <sz val="10"/>
        <rFont val="Noto Sans CJK SC"/>
        <family val="2"/>
        <charset val="1"/>
      </rPr>
      <t xml:space="preserve">자격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가점</t>
    </r>
  </si>
  <si>
    <r>
      <rPr>
        <sz val="10"/>
        <rFont val="Noto Sans CJK SC"/>
        <family val="2"/>
        <charset val="1"/>
      </rPr>
      <t xml:space="preserve">정부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행정사 강세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  <charset val="1"/>
      </rPr>
      <t xml:space="preserve">입찰 가점 항목</t>
    </r>
    <r>
      <rPr>
        <sz val="10"/>
        <rFont val="Arial"/>
        <family val="0"/>
        <charset val="1"/>
      </rPr>
      <t xml:space="preserve">'·'</t>
    </r>
    <r>
      <rPr>
        <sz val="10"/>
        <rFont val="Noto Sans CJK SC"/>
        <family val="2"/>
        <charset val="1"/>
      </rPr>
      <t xml:space="preserve">공사 면허 입찰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등 제품 적합 키워드만 선별</t>
    </r>
  </si>
  <si>
    <r>
      <rPr>
        <sz val="10"/>
        <rFont val="Arial"/>
        <family val="0"/>
        <charset val="1"/>
      </rPr>
      <t xml:space="preserve">D.</t>
    </r>
    <r>
      <rPr>
        <sz val="10"/>
        <rFont val="Noto Sans CJK SC"/>
        <family val="2"/>
        <charset val="1"/>
      </rPr>
      <t xml:space="preserve">공고탐색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알림</t>
    </r>
  </si>
  <si>
    <r>
      <rPr>
        <sz val="10"/>
        <rFont val="Arial"/>
        <family val="0"/>
        <charset val="1"/>
      </rPr>
      <t xml:space="preserve">BidEasy </t>
    </r>
    <r>
      <rPr>
        <sz val="10"/>
        <rFont val="Noto Sans CJK SC"/>
        <family val="2"/>
        <charset val="1"/>
      </rPr>
      <t xml:space="preserve">핵심 가치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전환 직결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알림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관심공고 키워드 최우선 발행</t>
    </r>
  </si>
  <si>
    <r>
      <rPr>
        <sz val="10"/>
        <rFont val="Arial"/>
        <family val="0"/>
        <charset val="1"/>
      </rPr>
      <t xml:space="preserve">E.</t>
    </r>
    <r>
      <rPr>
        <sz val="10"/>
        <rFont val="Noto Sans CJK SC"/>
        <family val="2"/>
        <charset val="1"/>
      </rPr>
      <t xml:space="preserve">개찰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낙찰분석</t>
    </r>
  </si>
  <si>
    <r>
      <rPr>
        <sz val="10"/>
        <rFont val="Noto Sans CJK SC"/>
        <family val="2"/>
        <charset val="1"/>
      </rPr>
      <t xml:space="preserve">인포</t>
    </r>
    <r>
      <rPr>
        <sz val="10"/>
        <rFont val="Arial"/>
        <family val="0"/>
        <charset val="1"/>
      </rPr>
      <t xml:space="preserve">21C </t>
    </r>
    <r>
      <rPr>
        <sz val="10"/>
        <rFont val="Noto Sans CJK SC"/>
        <family val="2"/>
        <charset val="1"/>
      </rPr>
      <t xml:space="preserve">낙찰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  <charset val="1"/>
      </rPr>
      <t xml:space="preserve">강세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  <charset val="1"/>
      </rPr>
      <t xml:space="preserve">낙찰 통계 분석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등 제품 연계만 선별</t>
    </r>
  </si>
  <si>
    <r>
      <rPr>
        <sz val="10"/>
        <rFont val="Arial"/>
        <family val="0"/>
        <charset val="1"/>
      </rPr>
      <t xml:space="preserve">F.</t>
    </r>
    <r>
      <rPr>
        <sz val="10"/>
        <rFont val="Noto Sans CJK SC"/>
        <family val="2"/>
        <charset val="1"/>
      </rPr>
      <t xml:space="preserve">도구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비교</t>
    </r>
  </si>
  <si>
    <r>
      <rPr>
        <sz val="10"/>
        <rFont val="Noto Sans CJK SC"/>
        <family val="2"/>
        <charset val="1"/>
      </rPr>
      <t xml:space="preserve">저경쟁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고전환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비교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대안 키워드는 손쉬운 승리 — 가장 먼저 발행</t>
    </r>
  </si>
  <si>
    <t xml:space="preserve">합계</t>
  </si>
  <si>
    <r>
      <rPr>
        <b val="true"/>
        <sz val="11"/>
        <color rgb="FFFFFFFF"/>
        <rFont val="Noto Sans CJK SC"/>
        <family val="2"/>
        <charset val="1"/>
      </rPr>
      <t xml:space="preserve">권장 발행 순서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  <charset val="1"/>
      </rPr>
      <t xml:space="preserve">신규 도메인 </t>
    </r>
    <r>
      <rPr>
        <b val="true"/>
        <sz val="11"/>
        <color rgb="FFFFFFFF"/>
        <rFont val="Arial"/>
        <family val="0"/>
        <charset val="1"/>
      </rPr>
      <t xml:space="preserve">90</t>
    </r>
    <r>
      <rPr>
        <b val="true"/>
        <sz val="11"/>
        <color rgb="FFFFFFFF"/>
        <rFont val="Noto Sans CJK SC"/>
        <family val="2"/>
        <charset val="1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</si>
  <si>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• 1</t>
    </r>
    <r>
      <rPr>
        <sz val="10"/>
        <rFont val="Noto Sans CJK SC"/>
        <family val="2"/>
        <charset val="1"/>
      </rPr>
      <t xml:space="preserve">순위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즉시</t>
    </r>
    <r>
      <rPr>
        <sz val="10"/>
        <rFont val="Arial"/>
        <family val="0"/>
        <charset val="1"/>
      </rPr>
      <t xml:space="preserve">): F </t>
    </r>
    <r>
      <rPr>
        <sz val="10"/>
        <rFont val="Noto Sans CJK SC"/>
        <family val="2"/>
        <charset val="1"/>
      </rPr>
      <t xml:space="preserve">비교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대안 </t>
    </r>
    <r>
      <rPr>
        <sz val="10"/>
        <rFont val="Arial"/>
        <family val="0"/>
        <charset val="1"/>
      </rPr>
      <t xml:space="preserve">+ D </t>
    </r>
    <r>
      <rPr>
        <sz val="10"/>
        <rFont val="Noto Sans CJK SC"/>
        <family val="2"/>
        <charset val="1"/>
      </rPr>
      <t xml:space="preserve">알림 — 저경쟁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고전환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제품 직결 </t>
    </r>
    <r>
      <rPr>
        <sz val="10"/>
        <rFont val="Arial"/>
        <family val="0"/>
        <charset val="1"/>
      </rPr>
      <t xml:space="preserve">(#44,45,46,47,29,30,31,35)</t>
    </r>
  </si>
  <si>
    <r>
      <rPr>
        <sz val="10"/>
        <rFont val="Arial"/>
        <family val="0"/>
        <charset val="1"/>
      </rPr>
      <t xml:space="preserve">• 2</t>
    </r>
    <r>
      <rPr>
        <sz val="10"/>
        <rFont val="Noto Sans CJK SC"/>
        <family val="2"/>
        <charset val="1"/>
      </rPr>
      <t xml:space="preserve">순위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신선도</t>
    </r>
    <r>
      <rPr>
        <sz val="10"/>
        <rFont val="Arial"/>
        <family val="0"/>
        <charset val="1"/>
      </rPr>
      <t xml:space="preserve">): '</t>
    </r>
    <r>
      <rPr>
        <sz val="10"/>
        <rFont val="Noto Sans CJK SC"/>
        <family val="2"/>
        <charset val="1"/>
      </rPr>
      <t xml:space="preserve">낙찰하한율</t>
    </r>
    <r>
      <rPr>
        <sz val="10"/>
        <rFont val="Arial"/>
        <family val="0"/>
        <charset val="1"/>
      </rPr>
      <t xml:space="preserve">'(#11) — 2026.1.30 </t>
    </r>
    <r>
      <rPr>
        <sz val="10"/>
        <rFont val="Noto Sans CJK SC"/>
        <family val="2"/>
        <charset val="1"/>
      </rPr>
      <t xml:space="preserve">상향 최신이슈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신규 도메인도 상위 가능</t>
    </r>
  </si>
  <si>
    <r>
      <rPr>
        <sz val="10"/>
        <rFont val="Arial"/>
        <family val="0"/>
        <charset val="1"/>
      </rPr>
      <t xml:space="preserve">• 3</t>
    </r>
    <r>
      <rPr>
        <sz val="10"/>
        <rFont val="Noto Sans CJK SC"/>
        <family val="2"/>
        <charset val="1"/>
      </rPr>
      <t xml:space="preserve">순위</t>
    </r>
    <r>
      <rPr>
        <sz val="10"/>
        <rFont val="Arial"/>
        <family val="0"/>
        <charset val="1"/>
      </rPr>
      <t xml:space="preserve">: B </t>
    </r>
    <r>
      <rPr>
        <sz val="10"/>
        <rFont val="Noto Sans CJK SC"/>
        <family val="2"/>
        <charset val="1"/>
      </rPr>
      <t xml:space="preserve">저경쟁 제품적합</t>
    </r>
    <r>
      <rPr>
        <sz val="10"/>
        <rFont val="Arial"/>
        <family val="0"/>
        <charset val="1"/>
      </rPr>
      <t xml:space="preserve">(#14 </t>
    </r>
    <r>
      <rPr>
        <sz val="10"/>
        <rFont val="Noto Sans CJK SC"/>
        <family val="2"/>
        <charset val="1"/>
      </rPr>
      <t xml:space="preserve">기초금액</t>
    </r>
    <r>
      <rPr>
        <sz val="10"/>
        <rFont val="Arial"/>
        <family val="0"/>
        <charset val="1"/>
      </rPr>
      <t xml:space="preserve">,#17 </t>
    </r>
    <r>
      <rPr>
        <sz val="10"/>
        <rFont val="Noto Sans CJK SC"/>
        <family val="2"/>
        <charset val="1"/>
      </rPr>
      <t xml:space="preserve">투찰률계산기</t>
    </r>
    <r>
      <rPr>
        <sz val="10"/>
        <rFont val="Arial"/>
        <family val="0"/>
        <charset val="1"/>
      </rPr>
      <t xml:space="preserve">,#26 </t>
    </r>
    <r>
      <rPr>
        <sz val="10"/>
        <rFont val="Noto Sans CJK SC"/>
        <family val="2"/>
        <charset val="1"/>
      </rPr>
      <t xml:space="preserve">공사면허</t>
    </r>
    <r>
      <rPr>
        <sz val="10"/>
        <rFont val="Arial"/>
        <family val="0"/>
        <charset val="1"/>
      </rPr>
      <t xml:space="preserve">) + D </t>
    </r>
    <r>
      <rPr>
        <sz val="10"/>
        <rFont val="Noto Sans CJK SC"/>
        <family val="2"/>
        <charset val="1"/>
      </rPr>
      <t xml:space="preserve">나머지</t>
    </r>
  </si>
  <si>
    <r>
      <rPr>
        <sz val="10"/>
        <rFont val="Arial"/>
        <family val="0"/>
        <charset val="1"/>
      </rPr>
      <t xml:space="preserve">• 4</t>
    </r>
    <r>
      <rPr>
        <sz val="10"/>
        <rFont val="Noto Sans CJK SC"/>
        <family val="2"/>
        <charset val="1"/>
      </rPr>
      <t xml:space="preserve">순위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볼륨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자동발행</t>
    </r>
    <r>
      <rPr>
        <sz val="10"/>
        <rFont val="Arial"/>
        <family val="0"/>
        <charset val="1"/>
      </rPr>
      <t xml:space="preserve">): A </t>
    </r>
    <r>
      <rPr>
        <sz val="10"/>
        <rFont val="Noto Sans CJK SC"/>
        <family val="2"/>
        <charset val="1"/>
      </rPr>
      <t xml:space="preserve">입문 </t>
    </r>
    <r>
      <rPr>
        <sz val="10"/>
        <rFont val="Arial"/>
        <family val="0"/>
        <charset val="1"/>
      </rPr>
      <t xml:space="preserve">+ E </t>
    </r>
    <r>
      <rPr>
        <sz val="10"/>
        <rFont val="Noto Sans CJK SC"/>
        <family val="2"/>
        <charset val="1"/>
      </rPr>
      <t xml:space="preserve">개찰 — 정부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인포</t>
    </r>
    <r>
      <rPr>
        <sz val="10"/>
        <rFont val="Arial"/>
        <family val="0"/>
        <charset val="1"/>
      </rPr>
      <t xml:space="preserve">21C </t>
    </r>
    <r>
      <rPr>
        <sz val="10"/>
        <rFont val="Noto Sans CJK SC"/>
        <family val="2"/>
        <charset val="1"/>
      </rPr>
      <t xml:space="preserve">강세라 단기 성과 기대 낮음</t>
    </r>
  </si>
  <si>
    <r>
      <rPr>
        <sz val="10"/>
        <rFont val="Noto Sans CJK SC"/>
        <family val="2"/>
        <charset val="1"/>
      </rPr>
      <t xml:space="preserve">• 보류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재검토</t>
    </r>
    <r>
      <rPr>
        <sz val="10"/>
        <rFont val="Arial"/>
        <family val="0"/>
        <charset val="1"/>
      </rPr>
      <t xml:space="preserve">: #15 </t>
    </r>
    <r>
      <rPr>
        <sz val="10"/>
        <rFont val="Noto Sans CJK SC"/>
        <family val="2"/>
        <charset val="1"/>
      </rPr>
      <t xml:space="preserve">예정가격 추정 — 브랜드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  <charset val="1"/>
      </rPr>
      <t xml:space="preserve">낙찰가 예측 안함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  <charset val="1"/>
      </rPr>
      <t xml:space="preserve">와 충돌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앵글 변경 필요</t>
    </r>
  </si>
  <si>
    <r>
      <rPr>
        <b val="true"/>
        <sz val="13"/>
        <color rgb="FFFFFFFF"/>
        <rFont val="Noto Sans CJK SC"/>
        <family val="2"/>
        <charset val="1"/>
      </rPr>
      <t xml:space="preserve">경쟁자 지형 </t>
    </r>
    <r>
      <rPr>
        <b val="true"/>
        <sz val="13"/>
        <color rgb="FFFFFFFF"/>
        <rFont val="Arial"/>
        <family val="0"/>
        <charset val="1"/>
      </rPr>
      <t xml:space="preserve">(2026-06 </t>
    </r>
    <r>
      <rPr>
        <b val="true"/>
        <sz val="13"/>
        <color rgb="FFFFFFFF"/>
        <rFont val="Noto Sans CJK SC"/>
        <family val="2"/>
        <charset val="1"/>
      </rPr>
      <t xml:space="preserve">조사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</si>
  <si>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경쟁자</t>
  </si>
  <si>
    <t xml:space="preserve">유형</t>
  </si>
  <si>
    <t xml:space="preserve">강점 영역</t>
  </si>
  <si>
    <r>
      <rPr>
        <b val="true"/>
        <sz val="10"/>
        <color rgb="FFFFFFFF"/>
        <rFont val="Arial"/>
        <family val="0"/>
        <charset val="1"/>
      </rPr>
      <t xml:space="preserve">BidEasy </t>
    </r>
    <r>
      <rPr>
        <b val="true"/>
        <sz val="10"/>
        <color rgb="FFFFFFFF"/>
        <rFont val="Noto Sans CJK SC"/>
        <family val="2"/>
        <charset val="1"/>
      </rPr>
      <t xml:space="preserve">시사점</t>
    </r>
  </si>
  <si>
    <r>
      <rPr>
        <sz val="10"/>
        <rFont val="Noto Sans CJK SC"/>
        <family val="2"/>
        <charset val="1"/>
      </rPr>
      <t xml:space="preserve">인포</t>
    </r>
    <r>
      <rPr>
        <sz val="10"/>
        <rFont val="Arial"/>
        <family val="0"/>
        <charset val="1"/>
      </rPr>
      <t xml:space="preserve">21C (info21c.net)</t>
    </r>
  </si>
  <si>
    <r>
      <rPr>
        <sz val="10"/>
        <rFont val="Noto Sans CJK SC"/>
        <family val="2"/>
        <charset val="1"/>
      </rPr>
      <t xml:space="preserve">유료 입찰포털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국내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위 자처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</si>
  <si>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적격심사계산기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투찰율 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낙찰</t>
    </r>
    <r>
      <rPr>
        <sz val="10"/>
        <rFont val="Arial"/>
        <family val="0"/>
        <charset val="1"/>
      </rPr>
      <t xml:space="preserve">DB 4</t>
    </r>
    <r>
      <rPr>
        <sz val="10"/>
        <rFont val="Noto Sans CJK SC"/>
        <family val="2"/>
        <charset val="1"/>
      </rPr>
      <t xml:space="preserve">만건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입찰강의</t>
    </r>
  </si>
  <si>
    <r>
      <rPr>
        <sz val="10"/>
        <rFont val="Arial"/>
        <family val="0"/>
        <charset val="1"/>
      </rPr>
      <t xml:space="preserve">B·E </t>
    </r>
    <r>
      <rPr>
        <sz val="10"/>
        <rFont val="Noto Sans CJK SC"/>
        <family val="2"/>
        <charset val="1"/>
      </rPr>
      <t xml:space="preserve">클러스터 정면승부 불리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차별점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오버레이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설치형으로 우회</t>
    </r>
  </si>
  <si>
    <r>
      <rPr>
        <sz val="10"/>
        <rFont val="Noto Sans CJK SC"/>
        <family val="2"/>
        <charset val="1"/>
      </rPr>
      <t xml:space="preserve">지투비플러스 </t>
    </r>
    <r>
      <rPr>
        <sz val="10"/>
        <rFont val="Arial"/>
        <family val="0"/>
        <charset val="1"/>
      </rPr>
      <t xml:space="preserve">(g2bplus.kr)</t>
    </r>
  </si>
  <si>
    <r>
      <rPr>
        <sz val="10"/>
        <rFont val="Noto Sans CJK SC"/>
        <family val="2"/>
        <charset val="1"/>
      </rPr>
      <t xml:space="preserve">무료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분석 검색서비스</t>
    </r>
  </si>
  <si>
    <r>
      <rPr>
        <sz val="10"/>
        <rFont val="Noto Sans CJK SC"/>
        <family val="2"/>
        <charset val="1"/>
      </rPr>
      <t xml:space="preserve">나라장터</t>
    </r>
    <r>
      <rPr>
        <sz val="10"/>
        <rFont val="Arial"/>
        <family val="0"/>
        <charset val="1"/>
      </rPr>
      <t xml:space="preserve">+25</t>
    </r>
    <r>
      <rPr>
        <sz val="10"/>
        <rFont val="Noto Sans CJK SC"/>
        <family val="2"/>
        <charset val="1"/>
      </rPr>
      <t xml:space="preserve">개 기관 데이터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분석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무료</t>
    </r>
  </si>
  <si>
    <r>
      <rPr>
        <sz val="10"/>
        <rFont val="Arial"/>
        <family val="0"/>
        <charset val="1"/>
      </rPr>
      <t xml:space="preserve">D '</t>
    </r>
    <r>
      <rPr>
        <sz val="10"/>
        <rFont val="Noto Sans CJK SC"/>
        <family val="2"/>
        <charset val="1"/>
      </rPr>
      <t xml:space="preserve">검색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키워드 강력 경쟁자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  <charset val="1"/>
      </rPr>
      <t xml:space="preserve">대안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키워드</t>
    </r>
    <r>
      <rPr>
        <sz val="10"/>
        <rFont val="Arial"/>
        <family val="0"/>
        <charset val="1"/>
      </rPr>
      <t xml:space="preserve">(#46)</t>
    </r>
    <r>
      <rPr>
        <sz val="10"/>
        <rFont val="Noto Sans CJK SC"/>
        <family val="2"/>
        <charset val="1"/>
      </rPr>
      <t xml:space="preserve">로 방어 공백 공략</t>
    </r>
  </si>
  <si>
    <r>
      <rPr>
        <sz val="10"/>
        <rFont val="Noto Sans CJK SC"/>
        <family val="2"/>
        <charset val="1"/>
      </rPr>
      <t xml:space="preserve">아이건설넷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케이비드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비드큐</t>
    </r>
  </si>
  <si>
    <t xml:space="preserve">유료 입찰정보 사이트</t>
  </si>
  <si>
    <r>
      <rPr>
        <sz val="10"/>
        <rFont val="Noto Sans CJK SC"/>
        <family val="2"/>
        <charset val="1"/>
      </rPr>
      <t xml:space="preserve">입찰강의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실무자료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도메인 권위</t>
    </r>
  </si>
  <si>
    <r>
      <rPr>
        <sz val="10"/>
        <rFont val="Arial"/>
        <family val="0"/>
        <charset val="1"/>
      </rPr>
      <t xml:space="preserve">A·B </t>
    </r>
    <r>
      <rPr>
        <sz val="10"/>
        <rFont val="Noto Sans CJK SC"/>
        <family val="2"/>
        <charset val="1"/>
      </rPr>
      <t xml:space="preserve">정보키워드 점유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단기 </t>
    </r>
    <r>
      <rPr>
        <sz val="10"/>
        <rFont val="Arial"/>
        <family val="0"/>
        <charset val="1"/>
      </rPr>
      <t xml:space="preserve">outrank </t>
    </r>
    <r>
      <rPr>
        <sz val="10"/>
        <rFont val="Noto Sans CJK SC"/>
        <family val="2"/>
        <charset val="1"/>
      </rPr>
      <t xml:space="preserve">어려움</t>
    </r>
  </si>
  <si>
    <r>
      <rPr>
        <sz val="10"/>
        <rFont val="Noto Sans CJK SC"/>
        <family val="2"/>
        <charset val="1"/>
      </rPr>
      <t xml:space="preserve">산군 블로그 </t>
    </r>
    <r>
      <rPr>
        <sz val="10"/>
        <rFont val="Arial"/>
        <family val="0"/>
        <charset val="1"/>
      </rPr>
      <t xml:space="preserve">(sankun.com)</t>
    </r>
  </si>
  <si>
    <r>
      <rPr>
        <sz val="10"/>
        <rFont val="Noto Sans CJK SC"/>
        <family val="2"/>
        <charset val="1"/>
      </rPr>
      <t xml:space="preserve">콘텐츠 </t>
    </r>
    <r>
      <rPr>
        <sz val="10"/>
        <rFont val="Arial"/>
        <family val="0"/>
        <charset val="1"/>
      </rPr>
      <t xml:space="preserve">SEO </t>
    </r>
    <r>
      <rPr>
        <sz val="10"/>
        <rFont val="Noto Sans CJK SC"/>
        <family val="2"/>
        <charset val="1"/>
      </rPr>
      <t xml:space="preserve">블로그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</si>
  <si>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입찰공고 알림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등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  <charset val="1"/>
      </rPr>
      <t xml:space="preserve">키워드 상위</t>
    </r>
  </si>
  <si>
    <r>
      <rPr>
        <sz val="10"/>
        <rFont val="Noto Sans CJK SC"/>
        <family val="2"/>
        <charset val="1"/>
      </rPr>
      <t xml:space="preserve">직접 </t>
    </r>
    <r>
      <rPr>
        <sz val="10"/>
        <rFont val="Arial"/>
        <family val="0"/>
        <charset val="1"/>
      </rPr>
      <t xml:space="preserve">SEO </t>
    </r>
    <r>
      <rPr>
        <sz val="10"/>
        <rFont val="Noto Sans CJK SC"/>
        <family val="2"/>
        <charset val="1"/>
      </rPr>
      <t xml:space="preserve">경쟁자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제품 우위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설치형 실시간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로 차별화</t>
    </r>
  </si>
  <si>
    <t xml:space="preserve">MyBidWise (mybidwise.com)</t>
  </si>
  <si>
    <r>
      <rPr>
        <sz val="10"/>
        <rFont val="Arial"/>
        <family val="0"/>
        <charset val="1"/>
      </rPr>
      <t xml:space="preserve">SEO-</t>
    </r>
    <r>
      <rPr>
        <sz val="10"/>
        <rFont val="Noto Sans CJK SC"/>
        <family val="2"/>
        <charset val="1"/>
      </rPr>
      <t xml:space="preserve">우선 블로그</t>
    </r>
    <r>
      <rPr>
        <sz val="10"/>
        <rFont val="Arial"/>
        <family val="0"/>
        <charset val="1"/>
      </rPr>
      <t xml:space="preserve">(2026 </t>
    </r>
    <r>
      <rPr>
        <sz val="10"/>
        <rFont val="Noto Sans CJK SC"/>
        <family val="2"/>
        <charset val="1"/>
      </rPr>
      <t xml:space="preserve">가이드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</si>
  <si>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나라장터 입찰 방법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등 가이드 양산</t>
    </r>
  </si>
  <si>
    <r>
      <rPr>
        <sz val="10"/>
        <rFont val="Arial"/>
        <family val="0"/>
        <charset val="1"/>
      </rPr>
      <t xml:space="preserve">BidEasy</t>
    </r>
    <r>
      <rPr>
        <sz val="10"/>
        <rFont val="Noto Sans CJK SC"/>
        <family val="2"/>
        <charset val="1"/>
      </rPr>
      <t xml:space="preserve">와 동일 콘텐츠 전략 추정 — 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제품연계로 앞서야</t>
    </r>
  </si>
  <si>
    <r>
      <rPr>
        <sz val="10"/>
        <rFont val="Noto Sans CJK SC"/>
        <family val="2"/>
        <charset val="1"/>
      </rPr>
      <t xml:space="preserve">나라장터 딥링크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크롬확장</t>
    </r>
    <r>
      <rPr>
        <sz val="10"/>
        <rFont val="Arial"/>
        <family val="0"/>
        <charset val="1"/>
      </rPr>
      <t xml:space="preserve">)</t>
    </r>
  </si>
  <si>
    <t xml:space="preserve">무료 크롬 확장</t>
  </si>
  <si>
    <r>
      <rPr>
        <sz val="10"/>
        <rFont val="Noto Sans CJK SC"/>
        <family val="2"/>
        <charset val="1"/>
      </rPr>
      <t xml:space="preserve">공고 딥링크 생성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단일기능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</si>
  <si>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#44 '</t>
    </r>
    <r>
      <rPr>
        <sz val="10"/>
        <rFont val="Noto Sans CJK SC"/>
        <family val="2"/>
        <charset val="1"/>
      </rPr>
      <t xml:space="preserve">크롬 확장프로그램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경쟁</t>
    </r>
    <r>
      <rPr>
        <sz val="10"/>
        <rFont val="Arial"/>
        <family val="0"/>
        <charset val="1"/>
      </rPr>
      <t xml:space="preserve">. BidEasy</t>
    </r>
    <r>
      <rPr>
        <sz val="10"/>
        <rFont val="Noto Sans CJK SC"/>
        <family val="2"/>
        <charset val="1"/>
      </rPr>
      <t xml:space="preserve">는 분석까지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기능 우위</t>
    </r>
  </si>
  <si>
    <r>
      <rPr>
        <sz val="10"/>
        <rFont val="Noto Sans CJK SC"/>
        <family val="2"/>
        <charset val="1"/>
      </rPr>
      <t xml:space="preserve">크몽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하나셀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알림 프로그램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</si>
  <si>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유료 알림 프로그램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긱</t>
    </r>
  </si>
  <si>
    <r>
      <rPr>
        <sz val="10"/>
        <rFont val="Noto Sans CJK SC"/>
        <family val="2"/>
        <charset val="1"/>
      </rPr>
      <t xml:space="preserve">카톡 키워드 알림</t>
    </r>
    <r>
      <rPr>
        <sz val="10"/>
        <rFont val="Arial"/>
        <family val="0"/>
        <charset val="1"/>
      </rPr>
      <t xml:space="preserve">(PC</t>
    </r>
    <r>
      <rPr>
        <sz val="10"/>
        <rFont val="Noto Sans CJK SC"/>
        <family val="2"/>
        <charset val="1"/>
      </rPr>
      <t xml:space="preserve">설치형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</si>
  <si>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  <charset val="1"/>
      </rPr>
      <t xml:space="preserve">알림 키워드 경쟁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  <charset val="1"/>
      </rPr>
      <t xml:space="preserve">무설치 오버레이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메시지로 차별</t>
    </r>
  </si>
  <si>
    <r>
      <rPr>
        <sz val="10"/>
        <rFont val="Noto Sans CJK SC"/>
        <family val="2"/>
        <charset val="1"/>
      </rPr>
      <t xml:space="preserve">정부 </t>
    </r>
    <r>
      <rPr>
        <sz val="10"/>
        <rFont val="Arial"/>
        <family val="0"/>
        <charset val="1"/>
      </rPr>
      <t xml:space="preserve">(pps.go.kr·gov.kr·law.go.kr)</t>
    </r>
  </si>
  <si>
    <t xml:space="preserve">공식 기관</t>
  </si>
  <si>
    <r>
      <rPr>
        <sz val="10"/>
        <rFont val="Noto Sans CJK SC"/>
        <family val="2"/>
        <charset val="1"/>
      </rPr>
      <t xml:space="preserve">자격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규정 키워드 절대권위</t>
    </r>
  </si>
  <si>
    <r>
      <rPr>
        <sz val="10"/>
        <rFont val="Arial"/>
        <family val="0"/>
        <charset val="1"/>
      </rPr>
      <t xml:space="preserve">A·C </t>
    </r>
    <r>
      <rPr>
        <sz val="10"/>
        <rFont val="Noto Sans CJK SC"/>
        <family val="2"/>
        <charset val="1"/>
      </rPr>
      <t xml:space="preserve">등록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규정 키워드는 </t>
    </r>
    <r>
      <rPr>
        <sz val="10"/>
        <rFont val="Arial"/>
        <family val="0"/>
        <charset val="1"/>
      </rPr>
      <t xml:space="preserve">outrank </t>
    </r>
    <r>
      <rPr>
        <sz val="10"/>
        <rFont val="Noto Sans CJK SC"/>
        <family val="2"/>
        <charset val="1"/>
      </rPr>
      <t xml:space="preserve">거의 불가 → 후순위</t>
    </r>
  </si>
  <si>
    <r>
      <rPr>
        <b val="true"/>
        <sz val="13"/>
        <color rgb="FFFFFFFF"/>
        <rFont val="Noto Sans CJK SC"/>
        <family val="2"/>
        <charset val="1"/>
      </rPr>
      <t xml:space="preserve">정확한 검색량 실측 가이드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  <charset val="1"/>
      </rPr>
      <t xml:space="preserve">필수 후속작업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</si>
  <si>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왜 필요한가</t>
  </si>
  <si>
    <r>
      <rPr>
        <sz val="10"/>
        <rFont val="Noto Sans CJK SC"/>
        <family val="2"/>
        <charset val="1"/>
      </rPr>
      <t xml:space="preserve">이 시트의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추정 볼륨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은 키워드 구조</t>
    </r>
    <r>
      <rPr>
        <sz val="10"/>
        <rFont val="Arial"/>
        <family val="0"/>
        <charset val="1"/>
      </rPr>
      <t xml:space="preserve">·SERP·</t>
    </r>
    <r>
      <rPr>
        <sz val="10"/>
        <rFont val="Noto Sans CJK SC"/>
        <family val="2"/>
        <charset val="1"/>
      </rPr>
      <t xml:space="preserve">시장지식 기반 상대 티어입니다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절대 검색량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월간 조회수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은 아래 도구로 실측해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  <charset val="1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볼륨</t>
    </r>
    <r>
      <rPr>
        <sz val="10"/>
        <rFont val="Arial"/>
        <family val="0"/>
        <charset val="1"/>
      </rPr>
      <t xml:space="preserve">P)</t>
    </r>
    <r>
      <rPr>
        <sz val="10"/>
        <rFont val="Noto Sans CJK SC"/>
        <family val="2"/>
        <charset val="1"/>
      </rPr>
      <t xml:space="preserve">을 갱신하세요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</si>
  <si>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  <charset val="1"/>
      </rPr>
      <t xml:space="preserve">① 네이버 검색광고 키워드도구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권장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  <charset val="1"/>
      </rPr>
      <t xml:space="preserve">한국 핵심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</si>
  <si>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searchad.naver.com </t>
    </r>
    <r>
      <rPr>
        <sz val="10"/>
        <rFont val="Noto Sans CJK SC"/>
        <family val="2"/>
        <charset val="1"/>
      </rPr>
      <t xml:space="preserve">로그인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무료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  <charset val="1"/>
      </rPr>
      <t xml:space="preserve">도구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  <charset val="1"/>
      </rPr>
      <t xml:space="preserve">키워드 도구 → 키워드 입력 → 월간검색수</t>
    </r>
    <r>
      <rPr>
        <sz val="10"/>
        <rFont val="Arial"/>
        <family val="0"/>
        <charset val="1"/>
      </rPr>
      <t xml:space="preserve">(PC/</t>
    </r>
    <r>
      <rPr>
        <sz val="10"/>
        <rFont val="Noto Sans CJK SC"/>
        <family val="2"/>
        <charset val="1"/>
      </rPr>
      <t xml:space="preserve">모바일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  <charset val="1"/>
      </rPr>
      <t xml:space="preserve">경쟁정도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평균클릭률 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한국 </t>
    </r>
    <r>
      <rPr>
        <sz val="10"/>
        <rFont val="Arial"/>
        <family val="0"/>
        <charset val="1"/>
      </rPr>
      <t xml:space="preserve">B2B</t>
    </r>
    <r>
      <rPr>
        <sz val="10"/>
        <rFont val="Noto Sans CJK SC"/>
        <family val="2"/>
        <charset val="1"/>
      </rPr>
      <t xml:space="preserve">는 네이버 비중이 커 가장 중요</t>
    </r>
    <r>
      <rPr>
        <sz val="10"/>
        <rFont val="Arial"/>
        <family val="0"/>
        <charset val="1"/>
      </rPr>
      <t xml:space="preserve">.</t>
    </r>
  </si>
  <si>
    <t xml:space="preserve">② 구글 키워드플래너</t>
  </si>
  <si>
    <r>
      <rPr>
        <sz val="10"/>
        <rFont val="Arial"/>
        <family val="0"/>
        <charset val="1"/>
      </rPr>
      <t xml:space="preserve">ads.google.com → </t>
    </r>
    <r>
      <rPr>
        <sz val="10"/>
        <rFont val="Noto Sans CJK SC"/>
        <family val="2"/>
        <charset val="1"/>
      </rPr>
      <t xml:space="preserve">도구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  <charset val="1"/>
      </rPr>
      <t xml:space="preserve">키워드 플래너 → 검색량 및 예측 → 월간 검색량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경쟁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낮음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중간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높음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광고계정 필요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무료 생성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</si>
  <si>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  <charset val="1"/>
      </rPr>
      <t xml:space="preserve">③ 구글 서치콘솔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발행 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</si>
  <si>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search.google.com/search-console → </t>
    </r>
    <r>
      <rPr>
        <sz val="10"/>
        <rFont val="Noto Sans CJK SC"/>
        <family val="2"/>
        <charset val="1"/>
      </rPr>
      <t xml:space="preserve">도메인 등록 → 실제 노출수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클릭수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평균순위로 사후 검증</t>
    </r>
    <r>
      <rPr>
        <sz val="10"/>
        <rFont val="Arial"/>
        <family val="0"/>
        <charset val="1"/>
      </rPr>
      <t xml:space="preserve">. W6 </t>
    </r>
    <r>
      <rPr>
        <sz val="10"/>
        <rFont val="Noto Sans CJK SC"/>
        <family val="2"/>
        <charset val="1"/>
      </rPr>
      <t xml:space="preserve">모니터링과 연계</t>
    </r>
    <r>
      <rPr>
        <sz val="10"/>
        <rFont val="Arial"/>
        <family val="0"/>
        <charset val="1"/>
      </rPr>
      <t xml:space="preserve">.</t>
    </r>
  </si>
  <si>
    <t xml:space="preserve">실측 후 할 일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</si>
  <si>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  <charset val="1"/>
      </rPr>
      <t xml:space="preserve">월간검색수를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상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  <charset val="1"/>
      </rPr>
      <t xml:space="preserve">천</t>
    </r>
    <r>
      <rPr>
        <sz val="10"/>
        <rFont val="Arial"/>
        <family val="0"/>
        <charset val="1"/>
      </rPr>
      <t xml:space="preserve">+)/</t>
    </r>
    <r>
      <rPr>
        <sz val="10"/>
        <rFont val="Noto Sans CJK SC"/>
        <family val="2"/>
        <charset val="1"/>
      </rPr>
      <t xml:space="preserve">중</t>
    </r>
    <r>
      <rPr>
        <sz val="10"/>
        <rFont val="Arial"/>
        <family val="0"/>
        <charset val="1"/>
      </rPr>
      <t xml:space="preserve">(500~2</t>
    </r>
    <r>
      <rPr>
        <sz val="10"/>
        <rFont val="Noto Sans CJK SC"/>
        <family val="2"/>
        <charset val="1"/>
      </rPr>
      <t xml:space="preserve">천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  <charset val="1"/>
      </rPr>
      <t xml:space="preserve">하</t>
    </r>
    <r>
      <rPr>
        <sz val="10"/>
        <rFont val="Arial"/>
        <family val="0"/>
        <charset val="1"/>
      </rPr>
      <t xml:space="preserve">(500</t>
    </r>
    <r>
      <rPr>
        <sz val="10"/>
        <rFont val="Noto Sans CJK SC"/>
        <family val="2"/>
        <charset val="1"/>
      </rPr>
      <t xml:space="preserve">미만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  <charset val="1"/>
      </rPr>
      <t xml:space="preserve">식 기준으로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  <charset val="1"/>
      </rPr>
      <t xml:space="preserve">열 갱신 → 기회점수 자동 재계산</t>
    </r>
    <r>
      <rPr>
        <sz val="10"/>
        <rFont val="Arial"/>
        <family val="0"/>
        <charset val="1"/>
      </rPr>
      <t xml:space="preserve">. 2) </t>
    </r>
    <r>
      <rPr>
        <sz val="10"/>
        <rFont val="Noto Sans CJK SC"/>
        <family val="2"/>
        <charset val="1"/>
      </rPr>
      <t xml:space="preserve">경쟁정도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높음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인데 신규도메인이면 재조정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  <charset val="1"/>
      </rPr>
      <t xml:space="preserve">한 단계 강등</t>
    </r>
    <r>
      <rPr>
        <sz val="10"/>
        <rFont val="Arial"/>
        <family val="0"/>
        <charset val="1"/>
      </rPr>
      <t xml:space="preserve">. 3) </t>
    </r>
    <r>
      <rPr>
        <sz val="10"/>
        <rFont val="Noto Sans CJK SC"/>
        <family val="2"/>
        <charset val="1"/>
      </rPr>
      <t xml:space="preserve">검색량 </t>
    </r>
    <r>
      <rPr>
        <sz val="10"/>
        <rFont val="Arial"/>
        <family val="0"/>
        <charset val="1"/>
      </rPr>
      <t xml:space="preserve">0~</t>
    </r>
    <r>
      <rPr>
        <sz val="10"/>
        <rFont val="Noto Sans CJK SC"/>
        <family val="2"/>
        <charset val="1"/>
      </rPr>
      <t xml:space="preserve">희박 키워드는 제외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</si>
  <si>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</si>
  <si>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Noto Sans CJK SC"/>
        <family val="2"/>
        <charset val="1"/>
      </rPr>
      <t xml:space="preserve">네이버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구글 검색량은 다를 수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한국 공공입찰 실무자는 네이버 의존도가 높으니 ①을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차 기준으로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</si>
</sst>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9"/>
      <color rgb="FF475467"/>
      <name val="Noto Sans CJK SC"/>
      <family val="2"/>
      <charset val="1"/>
    </font>
    <font>
      <i val="true"/>
      <sz val="9"/>
      <color rgb="FF475467"/>
      <name val="Arial"/>
      <family val="0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  <charset val="1"/>
    </font>
    <font>
      <b val="true"/>
      <sz val="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3"/>
      <color rgb="FFFFFFFF"/>
      <name val="Noto Sans CJK SC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3CD"/>
        <bgColor rgb="FFF1F3F5"/>
      </patternFill>
    </fill>
    <fill>
      <patternFill patternType="solid">
        <fgColor rgb="FFF1F3F5"/>
        <bgColor rgb="FFFFFFFF"/>
      </patternFill>
    </fill>
    <fill>
      <patternFill patternType="solid">
        <fgColor rgb="FFD4EDDA"/>
        <bgColor rgb="FFD0D5DD"/>
      </patternFill>
    </fill>
    <fill>
      <patternFill patternType="solid">
        <fgColor rgb="FF3182F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1F3F5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182F6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6" min="5" style="1" width="7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10" min="9" style="1" width="7"/>
    <col collapsed="false" customWidth="true" hidden="false" outlineLevel="0" max="11" min="11" style="1" width="22"/>
    <col collapsed="false" customWidth="true" hidden="false" outlineLevel="0" max="12" min="12" style="1" width="7"/>
    <col collapsed="false" customWidth="true" hidden="false" outlineLevel="0" max="14" min="13" style="1" width="9"/>
    <col collapsed="false" customWidth="true" hidden="false" outlineLevel="0" max="15" min="15" style="1" width="4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26.85" hidden="false" customHeight="false" outlineLevel="0" collapsed="false">
      <c r="A5" s="6" t="n">
        <v>1</v>
      </c>
      <c r="B5" s="7" t="s">
        <v>17</v>
      </c>
      <c r="C5" s="8" t="s">
        <v>18</v>
      </c>
      <c r="D5" s="9" t="s">
        <v>19</v>
      </c>
      <c r="E5" s="9" t="s">
        <v>20</v>
      </c>
      <c r="F5" s="9" t="s">
        <v>21</v>
      </c>
      <c r="G5" s="6" t="n">
        <v>3</v>
      </c>
      <c r="H5" s="9" t="s">
        <v>21</v>
      </c>
      <c r="I5" s="6" t="n">
        <v>3</v>
      </c>
      <c r="J5" s="6" t="n">
        <v>1</v>
      </c>
      <c r="K5" s="8" t="s">
        <v>22</v>
      </c>
      <c r="L5" s="6" t="n">
        <f aca="false">ROUND(J5*G5/I5,2)</f>
        <v>1</v>
      </c>
      <c r="M5" s="10" t="s">
        <v>23</v>
      </c>
      <c r="N5" s="11" t="s">
        <v>24</v>
      </c>
      <c r="O5" s="8" t="s">
        <v>25</v>
      </c>
    </row>
    <row r="6" customFormat="false" ht="15" hidden="false" customHeight="false" outlineLevel="0" collapsed="false">
      <c r="A6" s="6" t="n">
        <v>2</v>
      </c>
      <c r="B6" s="7" t="s">
        <v>17</v>
      </c>
      <c r="C6" s="8" t="s">
        <v>26</v>
      </c>
      <c r="D6" s="9" t="s">
        <v>19</v>
      </c>
      <c r="E6" s="9" t="s">
        <v>20</v>
      </c>
      <c r="F6" s="9" t="s">
        <v>27</v>
      </c>
      <c r="G6" s="6" t="n">
        <v>2</v>
      </c>
      <c r="H6" s="9" t="s">
        <v>27</v>
      </c>
      <c r="I6" s="6" t="n">
        <v>2</v>
      </c>
      <c r="J6" s="6" t="n">
        <v>1</v>
      </c>
      <c r="K6" s="8" t="s">
        <v>28</v>
      </c>
      <c r="L6" s="6" t="n">
        <f aca="false">ROUND(J6*G6/I6,2)</f>
        <v>1</v>
      </c>
      <c r="M6" s="12" t="s">
        <v>24</v>
      </c>
      <c r="N6" s="12" t="s">
        <v>24</v>
      </c>
      <c r="O6" s="8" t="s">
        <v>29</v>
      </c>
    </row>
    <row r="7" customFormat="false" ht="15" hidden="false" customHeight="false" outlineLevel="0" collapsed="false">
      <c r="A7" s="6" t="n">
        <v>3</v>
      </c>
      <c r="B7" s="7" t="s">
        <v>17</v>
      </c>
      <c r="C7" s="8" t="s">
        <v>30</v>
      </c>
      <c r="D7" s="9" t="s">
        <v>19</v>
      </c>
      <c r="E7" s="9" t="s">
        <v>20</v>
      </c>
      <c r="F7" s="9" t="s">
        <v>21</v>
      </c>
      <c r="G7" s="6" t="n">
        <v>3</v>
      </c>
      <c r="H7" s="9" t="s">
        <v>21</v>
      </c>
      <c r="I7" s="6" t="n">
        <v>3</v>
      </c>
      <c r="J7" s="6" t="n">
        <v>2</v>
      </c>
      <c r="K7" s="8" t="s">
        <v>31</v>
      </c>
      <c r="L7" s="6" t="n">
        <f aca="false">ROUND(J7*G7/I7,2)</f>
        <v>2</v>
      </c>
      <c r="M7" s="10" t="s">
        <v>23</v>
      </c>
      <c r="N7" s="10" t="s">
        <v>23</v>
      </c>
      <c r="O7" s="8" t="s">
        <v>32</v>
      </c>
    </row>
    <row r="8" customFormat="false" ht="15" hidden="false" customHeight="false" outlineLevel="0" collapsed="false">
      <c r="A8" s="6" t="n">
        <v>4</v>
      </c>
      <c r="B8" s="7" t="s">
        <v>17</v>
      </c>
      <c r="C8" s="8" t="s">
        <v>33</v>
      </c>
      <c r="D8" s="9" t="s">
        <v>19</v>
      </c>
      <c r="E8" s="9" t="s">
        <v>20</v>
      </c>
      <c r="F8" s="9" t="s">
        <v>27</v>
      </c>
      <c r="G8" s="6" t="n">
        <v>2</v>
      </c>
      <c r="H8" s="9" t="s">
        <v>21</v>
      </c>
      <c r="I8" s="6" t="n">
        <v>3</v>
      </c>
      <c r="J8" s="6" t="n">
        <v>1</v>
      </c>
      <c r="K8" s="8" t="s">
        <v>34</v>
      </c>
      <c r="L8" s="6" t="n">
        <f aca="false">ROUND(J8*G8/I8,2)</f>
        <v>0.67</v>
      </c>
      <c r="M8" s="12" t="s">
        <v>24</v>
      </c>
      <c r="N8" s="12" t="s">
        <v>24</v>
      </c>
      <c r="O8" s="8" t="s">
        <v>35</v>
      </c>
    </row>
    <row r="9" customFormat="false" ht="15" hidden="false" customHeight="false" outlineLevel="0" collapsed="false">
      <c r="A9" s="6" t="n">
        <v>5</v>
      </c>
      <c r="B9" s="7" t="s">
        <v>17</v>
      </c>
      <c r="C9" s="8" t="s">
        <v>36</v>
      </c>
      <c r="D9" s="9" t="s">
        <v>19</v>
      </c>
      <c r="E9" s="9" t="s">
        <v>20</v>
      </c>
      <c r="F9" s="9" t="s">
        <v>21</v>
      </c>
      <c r="G9" s="6" t="n">
        <v>3</v>
      </c>
      <c r="H9" s="9" t="s">
        <v>21</v>
      </c>
      <c r="I9" s="6" t="n">
        <v>3</v>
      </c>
      <c r="J9" s="6" t="n">
        <v>1</v>
      </c>
      <c r="K9" s="8" t="s">
        <v>37</v>
      </c>
      <c r="L9" s="6" t="n">
        <f aca="false">ROUND(J9*G9/I9,2)</f>
        <v>1</v>
      </c>
      <c r="M9" s="10" t="s">
        <v>23</v>
      </c>
      <c r="N9" s="11" t="s">
        <v>24</v>
      </c>
      <c r="O9" s="8" t="s">
        <v>38</v>
      </c>
    </row>
    <row r="10" customFormat="false" ht="15" hidden="false" customHeight="false" outlineLevel="0" collapsed="false">
      <c r="A10" s="6" t="n">
        <v>6</v>
      </c>
      <c r="B10" s="7" t="s">
        <v>17</v>
      </c>
      <c r="C10" s="8" t="s">
        <v>39</v>
      </c>
      <c r="D10" s="9" t="s">
        <v>19</v>
      </c>
      <c r="E10" s="9" t="s">
        <v>20</v>
      </c>
      <c r="F10" s="9" t="s">
        <v>27</v>
      </c>
      <c r="G10" s="6" t="n">
        <v>2</v>
      </c>
      <c r="H10" s="9" t="s">
        <v>27</v>
      </c>
      <c r="I10" s="6" t="n">
        <v>2</v>
      </c>
      <c r="J10" s="6" t="n">
        <v>1</v>
      </c>
      <c r="K10" s="8" t="s">
        <v>40</v>
      </c>
      <c r="L10" s="6" t="n">
        <f aca="false">ROUND(J10*G10/I10,2)</f>
        <v>1</v>
      </c>
      <c r="M10" s="10" t="s">
        <v>23</v>
      </c>
      <c r="N10" s="11" t="s">
        <v>24</v>
      </c>
      <c r="O10" s="8" t="s">
        <v>41</v>
      </c>
    </row>
    <row r="11" customFormat="false" ht="15" hidden="false" customHeight="false" outlineLevel="0" collapsed="false">
      <c r="A11" s="6" t="n">
        <v>7</v>
      </c>
      <c r="B11" s="7" t="s">
        <v>17</v>
      </c>
      <c r="C11" s="8" t="s">
        <v>42</v>
      </c>
      <c r="D11" s="9" t="s">
        <v>19</v>
      </c>
      <c r="E11" s="9" t="s">
        <v>20</v>
      </c>
      <c r="F11" s="9" t="s">
        <v>43</v>
      </c>
      <c r="G11" s="6" t="n">
        <v>1</v>
      </c>
      <c r="H11" s="9" t="s">
        <v>43</v>
      </c>
      <c r="I11" s="6" t="n">
        <v>1</v>
      </c>
      <c r="J11" s="6" t="n">
        <v>1</v>
      </c>
      <c r="K11" s="8" t="s">
        <v>44</v>
      </c>
      <c r="L11" s="6" t="n">
        <f aca="false">ROUND(J11*G11/I11,2)</f>
        <v>1</v>
      </c>
      <c r="M11" s="12" t="s">
        <v>24</v>
      </c>
      <c r="N11" s="12" t="s">
        <v>24</v>
      </c>
      <c r="O11" s="8" t="s">
        <v>45</v>
      </c>
    </row>
    <row r="12" customFormat="false" ht="15" hidden="false" customHeight="false" outlineLevel="0" collapsed="false">
      <c r="A12" s="6" t="n">
        <v>8</v>
      </c>
      <c r="B12" s="7" t="s">
        <v>17</v>
      </c>
      <c r="C12" s="8" t="s">
        <v>46</v>
      </c>
      <c r="D12" s="9" t="s">
        <v>19</v>
      </c>
      <c r="E12" s="9" t="s">
        <v>20</v>
      </c>
      <c r="F12" s="9" t="s">
        <v>27</v>
      </c>
      <c r="G12" s="6" t="n">
        <v>2</v>
      </c>
      <c r="H12" s="9" t="s">
        <v>27</v>
      </c>
      <c r="I12" s="6" t="n">
        <v>2</v>
      </c>
      <c r="J12" s="6" t="n">
        <v>1</v>
      </c>
      <c r="K12" s="8" t="s">
        <v>28</v>
      </c>
      <c r="L12" s="6" t="n">
        <f aca="false">ROUND(J12*G12/I12,2)</f>
        <v>1</v>
      </c>
      <c r="M12" s="12" t="s">
        <v>24</v>
      </c>
      <c r="N12" s="12" t="s">
        <v>24</v>
      </c>
      <c r="O12" s="8" t="s">
        <v>29</v>
      </c>
    </row>
    <row r="13" customFormat="false" ht="15" hidden="false" customHeight="false" outlineLevel="0" collapsed="false">
      <c r="A13" s="6" t="n">
        <v>9</v>
      </c>
      <c r="B13" s="7" t="s">
        <v>47</v>
      </c>
      <c r="C13" s="8" t="s">
        <v>48</v>
      </c>
      <c r="D13" s="9" t="s">
        <v>19</v>
      </c>
      <c r="E13" s="9" t="s">
        <v>49</v>
      </c>
      <c r="F13" s="9" t="s">
        <v>21</v>
      </c>
      <c r="G13" s="6" t="n">
        <v>3</v>
      </c>
      <c r="H13" s="9" t="s">
        <v>21</v>
      </c>
      <c r="I13" s="6" t="n">
        <v>3</v>
      </c>
      <c r="J13" s="6" t="n">
        <v>2</v>
      </c>
      <c r="K13" s="8" t="s">
        <v>50</v>
      </c>
      <c r="L13" s="6" t="n">
        <f aca="false">ROUND(J13*G13/I13,2)</f>
        <v>2</v>
      </c>
      <c r="M13" s="13" t="s">
        <v>51</v>
      </c>
      <c r="N13" s="13" t="s">
        <v>51</v>
      </c>
      <c r="O13" s="8" t="s">
        <v>52</v>
      </c>
    </row>
    <row r="14" customFormat="false" ht="15" hidden="false" customHeight="false" outlineLevel="0" collapsed="false">
      <c r="A14" s="6" t="n">
        <v>10</v>
      </c>
      <c r="B14" s="7" t="s">
        <v>47</v>
      </c>
      <c r="C14" s="8" t="s">
        <v>53</v>
      </c>
      <c r="D14" s="9" t="s">
        <v>19</v>
      </c>
      <c r="E14" s="9" t="s">
        <v>49</v>
      </c>
      <c r="F14" s="9" t="s">
        <v>21</v>
      </c>
      <c r="G14" s="6" t="n">
        <v>3</v>
      </c>
      <c r="H14" s="9" t="s">
        <v>21</v>
      </c>
      <c r="I14" s="6" t="n">
        <v>3</v>
      </c>
      <c r="J14" s="6" t="n">
        <v>2</v>
      </c>
      <c r="K14" s="8" t="s">
        <v>54</v>
      </c>
      <c r="L14" s="6" t="n">
        <f aca="false">ROUND(J14*G14/I14,2)</f>
        <v>2</v>
      </c>
      <c r="M14" s="13" t="s">
        <v>51</v>
      </c>
      <c r="N14" s="14" t="s">
        <v>23</v>
      </c>
      <c r="O14" s="8" t="s">
        <v>55</v>
      </c>
    </row>
    <row r="15" customFormat="false" ht="26.85" hidden="false" customHeight="false" outlineLevel="0" collapsed="false">
      <c r="A15" s="6" t="n">
        <v>11</v>
      </c>
      <c r="B15" s="7" t="s">
        <v>47</v>
      </c>
      <c r="C15" s="8" t="s">
        <v>56</v>
      </c>
      <c r="D15" s="9" t="s">
        <v>19</v>
      </c>
      <c r="E15" s="9" t="s">
        <v>49</v>
      </c>
      <c r="F15" s="9" t="s">
        <v>21</v>
      </c>
      <c r="G15" s="6" t="n">
        <v>3</v>
      </c>
      <c r="H15" s="9" t="s">
        <v>27</v>
      </c>
      <c r="I15" s="6" t="n">
        <v>2</v>
      </c>
      <c r="J15" s="6" t="n">
        <v>2</v>
      </c>
      <c r="K15" s="8" t="s">
        <v>37</v>
      </c>
      <c r="L15" s="6" t="n">
        <f aca="false">ROUND(J15*G15/I15,2)</f>
        <v>3</v>
      </c>
      <c r="M15" s="13" t="s">
        <v>51</v>
      </c>
      <c r="N15" s="13" t="s">
        <v>51</v>
      </c>
      <c r="O15" s="7" t="s">
        <v>57</v>
      </c>
    </row>
    <row r="16" customFormat="false" ht="15" hidden="false" customHeight="false" outlineLevel="0" collapsed="false">
      <c r="A16" s="6" t="n">
        <v>12</v>
      </c>
      <c r="B16" s="7" t="s">
        <v>47</v>
      </c>
      <c r="C16" s="8" t="s">
        <v>58</v>
      </c>
      <c r="D16" s="9" t="s">
        <v>19</v>
      </c>
      <c r="E16" s="9" t="s">
        <v>49</v>
      </c>
      <c r="F16" s="9" t="s">
        <v>27</v>
      </c>
      <c r="G16" s="6" t="n">
        <v>2</v>
      </c>
      <c r="H16" s="9" t="s">
        <v>27</v>
      </c>
      <c r="I16" s="6" t="n">
        <v>2</v>
      </c>
      <c r="J16" s="6" t="n">
        <v>2</v>
      </c>
      <c r="K16" s="8" t="s">
        <v>59</v>
      </c>
      <c r="L16" s="6" t="n">
        <f aca="false">ROUND(J16*G16/I16,2)</f>
        <v>2</v>
      </c>
      <c r="M16" s="10" t="s">
        <v>23</v>
      </c>
      <c r="N16" s="10" t="s">
        <v>23</v>
      </c>
      <c r="O16" s="8" t="s">
        <v>29</v>
      </c>
    </row>
    <row r="17" customFormat="false" ht="15" hidden="false" customHeight="false" outlineLevel="0" collapsed="false">
      <c r="A17" s="6" t="n">
        <v>13</v>
      </c>
      <c r="B17" s="7" t="s">
        <v>47</v>
      </c>
      <c r="C17" s="8" t="s">
        <v>60</v>
      </c>
      <c r="D17" s="9" t="s">
        <v>19</v>
      </c>
      <c r="E17" s="9" t="s">
        <v>49</v>
      </c>
      <c r="F17" s="9" t="s">
        <v>27</v>
      </c>
      <c r="G17" s="6" t="n">
        <v>2</v>
      </c>
      <c r="H17" s="9" t="s">
        <v>27</v>
      </c>
      <c r="I17" s="6" t="n">
        <v>2</v>
      </c>
      <c r="J17" s="6" t="n">
        <v>2</v>
      </c>
      <c r="K17" s="8" t="s">
        <v>40</v>
      </c>
      <c r="L17" s="6" t="n">
        <f aca="false">ROUND(J17*G17/I17,2)</f>
        <v>2</v>
      </c>
      <c r="M17" s="10" t="s">
        <v>23</v>
      </c>
      <c r="N17" s="10" t="s">
        <v>23</v>
      </c>
      <c r="O17" s="8" t="s">
        <v>29</v>
      </c>
    </row>
    <row r="18" customFormat="false" ht="15" hidden="false" customHeight="false" outlineLevel="0" collapsed="false">
      <c r="A18" s="6" t="n">
        <v>14</v>
      </c>
      <c r="B18" s="7" t="s">
        <v>47</v>
      </c>
      <c r="C18" s="8" t="s">
        <v>61</v>
      </c>
      <c r="D18" s="9" t="s">
        <v>19</v>
      </c>
      <c r="E18" s="9" t="s">
        <v>49</v>
      </c>
      <c r="F18" s="9" t="s">
        <v>27</v>
      </c>
      <c r="G18" s="6" t="n">
        <v>2</v>
      </c>
      <c r="H18" s="9" t="s">
        <v>43</v>
      </c>
      <c r="I18" s="6" t="n">
        <v>1.5</v>
      </c>
      <c r="J18" s="6" t="n">
        <v>2</v>
      </c>
      <c r="K18" s="8" t="s">
        <v>62</v>
      </c>
      <c r="L18" s="6" t="n">
        <f aca="false">ROUND(J18*G18/I18,2)</f>
        <v>2.67</v>
      </c>
      <c r="M18" s="13" t="s">
        <v>51</v>
      </c>
      <c r="N18" s="13" t="s">
        <v>51</v>
      </c>
      <c r="O18" s="8" t="s">
        <v>63</v>
      </c>
    </row>
    <row r="19" customFormat="false" ht="26.85" hidden="false" customHeight="false" outlineLevel="0" collapsed="false">
      <c r="A19" s="6" t="n">
        <v>15</v>
      </c>
      <c r="B19" s="7" t="s">
        <v>47</v>
      </c>
      <c r="C19" s="8" t="s">
        <v>64</v>
      </c>
      <c r="D19" s="9" t="s">
        <v>19</v>
      </c>
      <c r="E19" s="9" t="s">
        <v>49</v>
      </c>
      <c r="F19" s="9" t="s">
        <v>21</v>
      </c>
      <c r="G19" s="6" t="n">
        <v>3</v>
      </c>
      <c r="H19" s="9" t="s">
        <v>21</v>
      </c>
      <c r="I19" s="6" t="n">
        <v>3</v>
      </c>
      <c r="J19" s="6" t="n">
        <v>2</v>
      </c>
      <c r="K19" s="8" t="s">
        <v>65</v>
      </c>
      <c r="L19" s="6" t="n">
        <f aca="false">ROUND(J19*G19/I19,2)</f>
        <v>2</v>
      </c>
      <c r="M19" s="13" t="s">
        <v>51</v>
      </c>
      <c r="N19" s="14" t="s">
        <v>23</v>
      </c>
      <c r="O19" s="8" t="s">
        <v>66</v>
      </c>
    </row>
    <row r="20" customFormat="false" ht="15" hidden="false" customHeight="false" outlineLevel="0" collapsed="false">
      <c r="A20" s="6" t="n">
        <v>16</v>
      </c>
      <c r="B20" s="7" t="s">
        <v>47</v>
      </c>
      <c r="C20" s="8" t="s">
        <v>67</v>
      </c>
      <c r="D20" s="9" t="s">
        <v>19</v>
      </c>
      <c r="E20" s="9" t="s">
        <v>49</v>
      </c>
      <c r="F20" s="9" t="s">
        <v>27</v>
      </c>
      <c r="G20" s="6" t="n">
        <v>2</v>
      </c>
      <c r="H20" s="9" t="s">
        <v>27</v>
      </c>
      <c r="I20" s="6" t="n">
        <v>2</v>
      </c>
      <c r="J20" s="6" t="n">
        <v>2</v>
      </c>
      <c r="K20" s="8" t="s">
        <v>40</v>
      </c>
      <c r="L20" s="6" t="n">
        <f aca="false">ROUND(J20*G20/I20,2)</f>
        <v>2</v>
      </c>
      <c r="M20" s="10" t="s">
        <v>23</v>
      </c>
      <c r="N20" s="10" t="s">
        <v>23</v>
      </c>
      <c r="O20" s="8" t="s">
        <v>29</v>
      </c>
    </row>
    <row r="21" customFormat="false" ht="15" hidden="false" customHeight="false" outlineLevel="0" collapsed="false">
      <c r="A21" s="6" t="n">
        <v>17</v>
      </c>
      <c r="B21" s="7" t="s">
        <v>47</v>
      </c>
      <c r="C21" s="8" t="s">
        <v>68</v>
      </c>
      <c r="D21" s="9" t="s">
        <v>69</v>
      </c>
      <c r="E21" s="9" t="s">
        <v>70</v>
      </c>
      <c r="F21" s="9" t="s">
        <v>27</v>
      </c>
      <c r="G21" s="6" t="n">
        <v>2</v>
      </c>
      <c r="H21" s="9" t="s">
        <v>27</v>
      </c>
      <c r="I21" s="6" t="n">
        <v>2.5</v>
      </c>
      <c r="J21" s="6" t="n">
        <v>3</v>
      </c>
      <c r="K21" s="7" t="s">
        <v>71</v>
      </c>
      <c r="L21" s="6" t="n">
        <f aca="false">ROUND(J21*G21/I21,2)</f>
        <v>2.4</v>
      </c>
      <c r="M21" s="13" t="s">
        <v>51</v>
      </c>
      <c r="N21" s="13" t="s">
        <v>51</v>
      </c>
      <c r="O21" s="8" t="s">
        <v>72</v>
      </c>
    </row>
    <row r="22" customFormat="false" ht="15" hidden="false" customHeight="false" outlineLevel="0" collapsed="false">
      <c r="A22" s="6" t="n">
        <v>18</v>
      </c>
      <c r="B22" s="7" t="s">
        <v>47</v>
      </c>
      <c r="C22" s="8" t="s">
        <v>73</v>
      </c>
      <c r="D22" s="9" t="s">
        <v>19</v>
      </c>
      <c r="E22" s="9" t="s">
        <v>49</v>
      </c>
      <c r="F22" s="9" t="s">
        <v>27</v>
      </c>
      <c r="G22" s="6" t="n">
        <v>2</v>
      </c>
      <c r="H22" s="9" t="s">
        <v>27</v>
      </c>
      <c r="I22" s="6" t="n">
        <v>2</v>
      </c>
      <c r="J22" s="6" t="n">
        <v>2</v>
      </c>
      <c r="K22" s="8" t="s">
        <v>40</v>
      </c>
      <c r="L22" s="6" t="n">
        <f aca="false">ROUND(J22*G22/I22,2)</f>
        <v>2</v>
      </c>
      <c r="M22" s="13" t="s">
        <v>51</v>
      </c>
      <c r="N22" s="14" t="s">
        <v>23</v>
      </c>
      <c r="O22" s="8" t="s">
        <v>74</v>
      </c>
    </row>
    <row r="23" customFormat="false" ht="15" hidden="false" customHeight="false" outlineLevel="0" collapsed="false">
      <c r="A23" s="6" t="n">
        <v>19</v>
      </c>
      <c r="B23" s="7" t="s">
        <v>75</v>
      </c>
      <c r="C23" s="8" t="s">
        <v>76</v>
      </c>
      <c r="D23" s="9" t="s">
        <v>19</v>
      </c>
      <c r="E23" s="9" t="s">
        <v>49</v>
      </c>
      <c r="F23" s="9" t="s">
        <v>27</v>
      </c>
      <c r="G23" s="6" t="n">
        <v>2</v>
      </c>
      <c r="H23" s="9" t="s">
        <v>21</v>
      </c>
      <c r="I23" s="6" t="n">
        <v>3</v>
      </c>
      <c r="J23" s="6" t="n">
        <v>2</v>
      </c>
      <c r="K23" s="8" t="s">
        <v>77</v>
      </c>
      <c r="L23" s="6" t="n">
        <f aca="false">ROUND(J23*G23/I23,2)</f>
        <v>1.33</v>
      </c>
      <c r="M23" s="10" t="s">
        <v>23</v>
      </c>
      <c r="N23" s="11" t="s">
        <v>24</v>
      </c>
      <c r="O23" s="8" t="s">
        <v>78</v>
      </c>
    </row>
    <row r="24" customFormat="false" ht="15" hidden="false" customHeight="false" outlineLevel="0" collapsed="false">
      <c r="A24" s="6" t="n">
        <v>20</v>
      </c>
      <c r="B24" s="7" t="s">
        <v>75</v>
      </c>
      <c r="C24" s="8" t="s">
        <v>79</v>
      </c>
      <c r="D24" s="9" t="s">
        <v>19</v>
      </c>
      <c r="E24" s="9" t="s">
        <v>49</v>
      </c>
      <c r="F24" s="9" t="s">
        <v>27</v>
      </c>
      <c r="G24" s="6" t="n">
        <v>2</v>
      </c>
      <c r="H24" s="9" t="s">
        <v>21</v>
      </c>
      <c r="I24" s="6" t="n">
        <v>3</v>
      </c>
      <c r="J24" s="6" t="n">
        <v>1</v>
      </c>
      <c r="K24" s="8" t="s">
        <v>80</v>
      </c>
      <c r="L24" s="6" t="n">
        <f aca="false">ROUND(J24*G24/I24,2)</f>
        <v>0.67</v>
      </c>
      <c r="M24" s="12" t="s">
        <v>24</v>
      </c>
      <c r="N24" s="12" t="s">
        <v>24</v>
      </c>
      <c r="O24" s="8" t="s">
        <v>29</v>
      </c>
    </row>
    <row r="25" customFormat="false" ht="15" hidden="false" customHeight="false" outlineLevel="0" collapsed="false">
      <c r="A25" s="6" t="n">
        <v>21</v>
      </c>
      <c r="B25" s="7" t="s">
        <v>75</v>
      </c>
      <c r="C25" s="8" t="s">
        <v>81</v>
      </c>
      <c r="D25" s="9" t="s">
        <v>19</v>
      </c>
      <c r="E25" s="9" t="s">
        <v>49</v>
      </c>
      <c r="F25" s="9" t="s">
        <v>43</v>
      </c>
      <c r="G25" s="6" t="n">
        <v>1</v>
      </c>
      <c r="H25" s="9" t="s">
        <v>27</v>
      </c>
      <c r="I25" s="6" t="n">
        <v>2</v>
      </c>
      <c r="J25" s="6" t="n">
        <v>1</v>
      </c>
      <c r="K25" s="8" t="s">
        <v>40</v>
      </c>
      <c r="L25" s="6" t="n">
        <f aca="false">ROUND(J25*G25/I25,2)</f>
        <v>0.5</v>
      </c>
      <c r="M25" s="12" t="s">
        <v>24</v>
      </c>
      <c r="N25" s="12" t="s">
        <v>24</v>
      </c>
      <c r="O25" s="8" t="s">
        <v>29</v>
      </c>
    </row>
    <row r="26" customFormat="false" ht="15" hidden="false" customHeight="false" outlineLevel="0" collapsed="false">
      <c r="A26" s="6" t="n">
        <v>22</v>
      </c>
      <c r="B26" s="7" t="s">
        <v>75</v>
      </c>
      <c r="C26" s="8" t="s">
        <v>82</v>
      </c>
      <c r="D26" s="9" t="s">
        <v>19</v>
      </c>
      <c r="E26" s="9" t="s">
        <v>49</v>
      </c>
      <c r="F26" s="9" t="s">
        <v>43</v>
      </c>
      <c r="G26" s="6" t="n">
        <v>1</v>
      </c>
      <c r="H26" s="9" t="s">
        <v>27</v>
      </c>
      <c r="I26" s="6" t="n">
        <v>2</v>
      </c>
      <c r="J26" s="6" t="n">
        <v>1</v>
      </c>
      <c r="K26" s="8" t="s">
        <v>40</v>
      </c>
      <c r="L26" s="6" t="n">
        <f aca="false">ROUND(J26*G26/I26,2)</f>
        <v>0.5</v>
      </c>
      <c r="M26" s="12" t="s">
        <v>24</v>
      </c>
      <c r="N26" s="12" t="s">
        <v>24</v>
      </c>
      <c r="O26" s="8" t="s">
        <v>29</v>
      </c>
    </row>
    <row r="27" customFormat="false" ht="15" hidden="false" customHeight="false" outlineLevel="0" collapsed="false">
      <c r="A27" s="6" t="n">
        <v>23</v>
      </c>
      <c r="B27" s="7" t="s">
        <v>75</v>
      </c>
      <c r="C27" s="8" t="s">
        <v>83</v>
      </c>
      <c r="D27" s="9" t="s">
        <v>19</v>
      </c>
      <c r="E27" s="9" t="s">
        <v>49</v>
      </c>
      <c r="F27" s="9" t="s">
        <v>27</v>
      </c>
      <c r="G27" s="6" t="n">
        <v>2</v>
      </c>
      <c r="H27" s="9" t="s">
        <v>27</v>
      </c>
      <c r="I27" s="6" t="n">
        <v>2</v>
      </c>
      <c r="J27" s="6" t="n">
        <v>2</v>
      </c>
      <c r="K27" s="8" t="s">
        <v>28</v>
      </c>
      <c r="L27" s="6" t="n">
        <f aca="false">ROUND(J27*G27/I27,2)</f>
        <v>2</v>
      </c>
      <c r="M27" s="10" t="s">
        <v>23</v>
      </c>
      <c r="N27" s="10" t="s">
        <v>23</v>
      </c>
      <c r="O27" s="8" t="s">
        <v>29</v>
      </c>
    </row>
    <row r="28" customFormat="false" ht="15" hidden="false" customHeight="false" outlineLevel="0" collapsed="false">
      <c r="A28" s="6" t="n">
        <v>24</v>
      </c>
      <c r="B28" s="7" t="s">
        <v>75</v>
      </c>
      <c r="C28" s="8" t="s">
        <v>84</v>
      </c>
      <c r="D28" s="9" t="s">
        <v>19</v>
      </c>
      <c r="E28" s="9" t="s">
        <v>49</v>
      </c>
      <c r="F28" s="9" t="s">
        <v>27</v>
      </c>
      <c r="G28" s="6" t="n">
        <v>2</v>
      </c>
      <c r="H28" s="9" t="s">
        <v>27</v>
      </c>
      <c r="I28" s="6" t="n">
        <v>2</v>
      </c>
      <c r="J28" s="6" t="n">
        <v>1</v>
      </c>
      <c r="K28" s="8" t="s">
        <v>28</v>
      </c>
      <c r="L28" s="6" t="n">
        <f aca="false">ROUND(J28*G28/I28,2)</f>
        <v>1</v>
      </c>
      <c r="M28" s="12" t="s">
        <v>24</v>
      </c>
      <c r="N28" s="12" t="s">
        <v>24</v>
      </c>
      <c r="O28" s="8" t="s">
        <v>29</v>
      </c>
    </row>
    <row r="29" customFormat="false" ht="15" hidden="false" customHeight="false" outlineLevel="0" collapsed="false">
      <c r="A29" s="6" t="n">
        <v>25</v>
      </c>
      <c r="B29" s="7" t="s">
        <v>75</v>
      </c>
      <c r="C29" s="8" t="s">
        <v>85</v>
      </c>
      <c r="D29" s="9" t="s">
        <v>19</v>
      </c>
      <c r="E29" s="9" t="s">
        <v>49</v>
      </c>
      <c r="F29" s="9" t="s">
        <v>27</v>
      </c>
      <c r="G29" s="6" t="n">
        <v>2</v>
      </c>
      <c r="H29" s="9" t="s">
        <v>43</v>
      </c>
      <c r="I29" s="6" t="n">
        <v>1.5</v>
      </c>
      <c r="J29" s="6" t="n">
        <v>2</v>
      </c>
      <c r="K29" s="8" t="s">
        <v>62</v>
      </c>
      <c r="L29" s="6" t="n">
        <f aca="false">ROUND(J29*G29/I29,2)</f>
        <v>2.67</v>
      </c>
      <c r="M29" s="10" t="s">
        <v>23</v>
      </c>
      <c r="N29" s="10" t="s">
        <v>23</v>
      </c>
      <c r="O29" s="8" t="s">
        <v>86</v>
      </c>
    </row>
    <row r="30" customFormat="false" ht="15" hidden="false" customHeight="false" outlineLevel="0" collapsed="false">
      <c r="A30" s="6" t="n">
        <v>26</v>
      </c>
      <c r="B30" s="7" t="s">
        <v>75</v>
      </c>
      <c r="C30" s="8" t="s">
        <v>87</v>
      </c>
      <c r="D30" s="9" t="s">
        <v>19</v>
      </c>
      <c r="E30" s="9" t="s">
        <v>49</v>
      </c>
      <c r="F30" s="9" t="s">
        <v>27</v>
      </c>
      <c r="G30" s="6" t="n">
        <v>2</v>
      </c>
      <c r="H30" s="9" t="s">
        <v>27</v>
      </c>
      <c r="I30" s="6" t="n">
        <v>2</v>
      </c>
      <c r="J30" s="6" t="n">
        <v>2</v>
      </c>
      <c r="K30" s="8" t="s">
        <v>40</v>
      </c>
      <c r="L30" s="6" t="n">
        <f aca="false">ROUND(J30*G30/I30,2)</f>
        <v>2</v>
      </c>
      <c r="M30" s="13" t="s">
        <v>51</v>
      </c>
      <c r="N30" s="13" t="s">
        <v>51</v>
      </c>
      <c r="O30" s="8" t="s">
        <v>88</v>
      </c>
    </row>
    <row r="31" customFormat="false" ht="15" hidden="false" customHeight="false" outlineLevel="0" collapsed="false">
      <c r="A31" s="6" t="n">
        <v>27</v>
      </c>
      <c r="B31" s="7" t="s">
        <v>75</v>
      </c>
      <c r="C31" s="8" t="s">
        <v>89</v>
      </c>
      <c r="D31" s="9" t="s">
        <v>19</v>
      </c>
      <c r="E31" s="9" t="s">
        <v>49</v>
      </c>
      <c r="F31" s="9" t="s">
        <v>43</v>
      </c>
      <c r="G31" s="6" t="n">
        <v>1</v>
      </c>
      <c r="H31" s="9" t="s">
        <v>27</v>
      </c>
      <c r="I31" s="6" t="n">
        <v>2</v>
      </c>
      <c r="J31" s="6" t="n">
        <v>1</v>
      </c>
      <c r="K31" s="8" t="s">
        <v>28</v>
      </c>
      <c r="L31" s="6" t="n">
        <f aca="false">ROUND(J31*G31/I31,2)</f>
        <v>0.5</v>
      </c>
      <c r="M31" s="12" t="s">
        <v>24</v>
      </c>
      <c r="N31" s="12" t="s">
        <v>24</v>
      </c>
      <c r="O31" s="8" t="s">
        <v>29</v>
      </c>
    </row>
    <row r="32" customFormat="false" ht="15" hidden="false" customHeight="false" outlineLevel="0" collapsed="false">
      <c r="A32" s="6" t="n">
        <v>28</v>
      </c>
      <c r="B32" s="7" t="s">
        <v>90</v>
      </c>
      <c r="C32" s="8" t="s">
        <v>91</v>
      </c>
      <c r="D32" s="9" t="s">
        <v>19</v>
      </c>
      <c r="E32" s="9" t="s">
        <v>70</v>
      </c>
      <c r="F32" s="9" t="s">
        <v>21</v>
      </c>
      <c r="G32" s="6" t="n">
        <v>3</v>
      </c>
      <c r="H32" s="9" t="s">
        <v>21</v>
      </c>
      <c r="I32" s="6" t="n">
        <v>3</v>
      </c>
      <c r="J32" s="6" t="n">
        <v>3</v>
      </c>
      <c r="K32" s="8" t="s">
        <v>92</v>
      </c>
      <c r="L32" s="6" t="n">
        <f aca="false">ROUND(J32*G32/I32,2)</f>
        <v>3</v>
      </c>
      <c r="M32" s="13" t="s">
        <v>51</v>
      </c>
      <c r="N32" s="13" t="s">
        <v>51</v>
      </c>
      <c r="O32" s="8" t="s">
        <v>93</v>
      </c>
    </row>
    <row r="33" customFormat="false" ht="15" hidden="false" customHeight="false" outlineLevel="0" collapsed="false">
      <c r="A33" s="6" t="n">
        <v>29</v>
      </c>
      <c r="B33" s="7" t="s">
        <v>90</v>
      </c>
      <c r="C33" s="8" t="s">
        <v>94</v>
      </c>
      <c r="D33" s="9" t="s">
        <v>69</v>
      </c>
      <c r="E33" s="9" t="s">
        <v>70</v>
      </c>
      <c r="F33" s="9" t="s">
        <v>27</v>
      </c>
      <c r="G33" s="6" t="n">
        <v>2</v>
      </c>
      <c r="H33" s="9" t="s">
        <v>27</v>
      </c>
      <c r="I33" s="6" t="n">
        <v>2</v>
      </c>
      <c r="J33" s="6" t="n">
        <v>3</v>
      </c>
      <c r="K33" s="8" t="s">
        <v>95</v>
      </c>
      <c r="L33" s="6" t="n">
        <f aca="false">ROUND(J33*G33/I33,2)</f>
        <v>3</v>
      </c>
      <c r="M33" s="13" t="s">
        <v>51</v>
      </c>
      <c r="N33" s="13" t="s">
        <v>51</v>
      </c>
      <c r="O33" s="8" t="s">
        <v>96</v>
      </c>
    </row>
    <row r="34" customFormat="false" ht="15" hidden="false" customHeight="false" outlineLevel="0" collapsed="false">
      <c r="A34" s="6" t="n">
        <v>30</v>
      </c>
      <c r="B34" s="7" t="s">
        <v>90</v>
      </c>
      <c r="C34" s="8" t="s">
        <v>97</v>
      </c>
      <c r="D34" s="9" t="s">
        <v>69</v>
      </c>
      <c r="E34" s="9" t="s">
        <v>70</v>
      </c>
      <c r="F34" s="9" t="s">
        <v>27</v>
      </c>
      <c r="G34" s="6" t="n">
        <v>2</v>
      </c>
      <c r="H34" s="9" t="s">
        <v>27</v>
      </c>
      <c r="I34" s="6" t="n">
        <v>2</v>
      </c>
      <c r="J34" s="6" t="n">
        <v>3</v>
      </c>
      <c r="K34" s="8" t="s">
        <v>98</v>
      </c>
      <c r="L34" s="6" t="n">
        <f aca="false">ROUND(J34*G34/I34,2)</f>
        <v>3</v>
      </c>
      <c r="M34" s="13" t="s">
        <v>51</v>
      </c>
      <c r="N34" s="13" t="s">
        <v>51</v>
      </c>
      <c r="O34" s="8" t="s">
        <v>99</v>
      </c>
    </row>
    <row r="35" customFormat="false" ht="15" hidden="false" customHeight="false" outlineLevel="0" collapsed="false">
      <c r="A35" s="6" t="n">
        <v>31</v>
      </c>
      <c r="B35" s="7" t="s">
        <v>90</v>
      </c>
      <c r="C35" s="8" t="s">
        <v>100</v>
      </c>
      <c r="D35" s="9" t="s">
        <v>69</v>
      </c>
      <c r="E35" s="9" t="s">
        <v>70</v>
      </c>
      <c r="F35" s="9" t="s">
        <v>43</v>
      </c>
      <c r="G35" s="6" t="n">
        <v>1</v>
      </c>
      <c r="H35" s="9" t="s">
        <v>43</v>
      </c>
      <c r="I35" s="6" t="n">
        <v>1</v>
      </c>
      <c r="J35" s="6" t="n">
        <v>3</v>
      </c>
      <c r="K35" s="8" t="s">
        <v>101</v>
      </c>
      <c r="L35" s="6" t="n">
        <f aca="false">ROUND(J35*G35/I35,2)</f>
        <v>3</v>
      </c>
      <c r="M35" s="13" t="s">
        <v>51</v>
      </c>
      <c r="N35" s="13" t="s">
        <v>51</v>
      </c>
      <c r="O35" s="8" t="s">
        <v>102</v>
      </c>
    </row>
    <row r="36" customFormat="false" ht="15" hidden="false" customHeight="false" outlineLevel="0" collapsed="false">
      <c r="A36" s="6" t="n">
        <v>32</v>
      </c>
      <c r="B36" s="7" t="s">
        <v>90</v>
      </c>
      <c r="C36" s="8" t="s">
        <v>103</v>
      </c>
      <c r="D36" s="9" t="s">
        <v>19</v>
      </c>
      <c r="E36" s="9" t="s">
        <v>70</v>
      </c>
      <c r="F36" s="9" t="s">
        <v>43</v>
      </c>
      <c r="G36" s="6" t="n">
        <v>1</v>
      </c>
      <c r="H36" s="9" t="s">
        <v>43</v>
      </c>
      <c r="I36" s="6" t="n">
        <v>1</v>
      </c>
      <c r="J36" s="6" t="n">
        <v>3</v>
      </c>
      <c r="K36" s="8" t="s">
        <v>101</v>
      </c>
      <c r="L36" s="6" t="n">
        <f aca="false">ROUND(J36*G36/I36,2)</f>
        <v>3</v>
      </c>
      <c r="M36" s="13" t="s">
        <v>51</v>
      </c>
      <c r="N36" s="14" t="s">
        <v>23</v>
      </c>
      <c r="O36" s="8" t="s">
        <v>104</v>
      </c>
    </row>
    <row r="37" customFormat="false" ht="15" hidden="false" customHeight="false" outlineLevel="0" collapsed="false">
      <c r="A37" s="6" t="n">
        <v>33</v>
      </c>
      <c r="B37" s="7" t="s">
        <v>90</v>
      </c>
      <c r="C37" s="8" t="s">
        <v>105</v>
      </c>
      <c r="D37" s="9" t="s">
        <v>19</v>
      </c>
      <c r="E37" s="9" t="s">
        <v>49</v>
      </c>
      <c r="F37" s="9" t="s">
        <v>27</v>
      </c>
      <c r="G37" s="6" t="n">
        <v>2</v>
      </c>
      <c r="H37" s="9" t="s">
        <v>27</v>
      </c>
      <c r="I37" s="6" t="n">
        <v>2</v>
      </c>
      <c r="J37" s="6" t="n">
        <v>2</v>
      </c>
      <c r="K37" s="8" t="s">
        <v>40</v>
      </c>
      <c r="L37" s="6" t="n">
        <f aca="false">ROUND(J37*G37/I37,2)</f>
        <v>2</v>
      </c>
      <c r="M37" s="10" t="s">
        <v>23</v>
      </c>
      <c r="N37" s="10" t="s">
        <v>23</v>
      </c>
      <c r="O37" s="8" t="s">
        <v>29</v>
      </c>
    </row>
    <row r="38" customFormat="false" ht="15" hidden="false" customHeight="false" outlineLevel="0" collapsed="false">
      <c r="A38" s="6" t="n">
        <v>34</v>
      </c>
      <c r="B38" s="7" t="s">
        <v>90</v>
      </c>
      <c r="C38" s="8" t="s">
        <v>106</v>
      </c>
      <c r="D38" s="9" t="s">
        <v>19</v>
      </c>
      <c r="E38" s="9" t="s">
        <v>49</v>
      </c>
      <c r="F38" s="9" t="s">
        <v>27</v>
      </c>
      <c r="G38" s="6" t="n">
        <v>2</v>
      </c>
      <c r="H38" s="9" t="s">
        <v>27</v>
      </c>
      <c r="I38" s="6" t="n">
        <v>2</v>
      </c>
      <c r="J38" s="6" t="n">
        <v>2</v>
      </c>
      <c r="K38" s="8" t="s">
        <v>40</v>
      </c>
      <c r="L38" s="6" t="n">
        <f aca="false">ROUND(J38*G38/I38,2)</f>
        <v>2</v>
      </c>
      <c r="M38" s="10" t="s">
        <v>23</v>
      </c>
      <c r="N38" s="10" t="s">
        <v>23</v>
      </c>
      <c r="O38" s="8" t="s">
        <v>107</v>
      </c>
    </row>
    <row r="39" customFormat="false" ht="15" hidden="false" customHeight="false" outlineLevel="0" collapsed="false">
      <c r="A39" s="6" t="n">
        <v>35</v>
      </c>
      <c r="B39" s="7" t="s">
        <v>90</v>
      </c>
      <c r="C39" s="8" t="s">
        <v>108</v>
      </c>
      <c r="D39" s="9" t="s">
        <v>19</v>
      </c>
      <c r="E39" s="9" t="s">
        <v>70</v>
      </c>
      <c r="F39" s="9" t="s">
        <v>43</v>
      </c>
      <c r="G39" s="6" t="n">
        <v>1</v>
      </c>
      <c r="H39" s="9" t="s">
        <v>43</v>
      </c>
      <c r="I39" s="6" t="n">
        <v>1</v>
      </c>
      <c r="J39" s="6" t="n">
        <v>3</v>
      </c>
      <c r="K39" s="8" t="s">
        <v>101</v>
      </c>
      <c r="L39" s="6" t="n">
        <f aca="false">ROUND(J39*G39/I39,2)</f>
        <v>3</v>
      </c>
      <c r="M39" s="13" t="s">
        <v>51</v>
      </c>
      <c r="N39" s="13" t="s">
        <v>51</v>
      </c>
      <c r="O39" s="8" t="s">
        <v>109</v>
      </c>
    </row>
    <row r="40" customFormat="false" ht="15" hidden="false" customHeight="false" outlineLevel="0" collapsed="false">
      <c r="A40" s="6" t="n">
        <v>36</v>
      </c>
      <c r="B40" s="7" t="s">
        <v>90</v>
      </c>
      <c r="C40" s="8" t="s">
        <v>110</v>
      </c>
      <c r="D40" s="9" t="s">
        <v>69</v>
      </c>
      <c r="E40" s="9" t="s">
        <v>70</v>
      </c>
      <c r="F40" s="9" t="s">
        <v>43</v>
      </c>
      <c r="G40" s="6" t="n">
        <v>1</v>
      </c>
      <c r="H40" s="9" t="s">
        <v>43</v>
      </c>
      <c r="I40" s="6" t="n">
        <v>1</v>
      </c>
      <c r="J40" s="6" t="n">
        <v>3</v>
      </c>
      <c r="K40" s="8" t="s">
        <v>62</v>
      </c>
      <c r="L40" s="6" t="n">
        <f aca="false">ROUND(J40*G40/I40,2)</f>
        <v>3</v>
      </c>
      <c r="M40" s="13" t="s">
        <v>51</v>
      </c>
      <c r="N40" s="14" t="s">
        <v>23</v>
      </c>
      <c r="O40" s="8" t="s">
        <v>111</v>
      </c>
    </row>
    <row r="41" customFormat="false" ht="15" hidden="false" customHeight="false" outlineLevel="0" collapsed="false">
      <c r="A41" s="6" t="n">
        <v>37</v>
      </c>
      <c r="B41" s="7" t="s">
        <v>90</v>
      </c>
      <c r="C41" s="8" t="s">
        <v>112</v>
      </c>
      <c r="D41" s="9" t="s">
        <v>19</v>
      </c>
      <c r="E41" s="9" t="s">
        <v>70</v>
      </c>
      <c r="F41" s="9" t="s">
        <v>27</v>
      </c>
      <c r="G41" s="6" t="n">
        <v>2</v>
      </c>
      <c r="H41" s="9" t="s">
        <v>27</v>
      </c>
      <c r="I41" s="6" t="n">
        <v>2</v>
      </c>
      <c r="J41" s="6" t="n">
        <v>3</v>
      </c>
      <c r="K41" s="8" t="s">
        <v>40</v>
      </c>
      <c r="L41" s="6" t="n">
        <f aca="false">ROUND(J41*G41/I41,2)</f>
        <v>3</v>
      </c>
      <c r="M41" s="10" t="s">
        <v>23</v>
      </c>
      <c r="N41" s="10" t="s">
        <v>23</v>
      </c>
      <c r="O41" s="8" t="s">
        <v>29</v>
      </c>
    </row>
    <row r="42" customFormat="false" ht="15" hidden="false" customHeight="false" outlineLevel="0" collapsed="false">
      <c r="A42" s="6" t="n">
        <v>38</v>
      </c>
      <c r="B42" s="7" t="s">
        <v>113</v>
      </c>
      <c r="C42" s="8" t="s">
        <v>114</v>
      </c>
      <c r="D42" s="9" t="s">
        <v>19</v>
      </c>
      <c r="E42" s="9" t="s">
        <v>49</v>
      </c>
      <c r="F42" s="9" t="s">
        <v>27</v>
      </c>
      <c r="G42" s="6" t="n">
        <v>2</v>
      </c>
      <c r="H42" s="9" t="s">
        <v>27</v>
      </c>
      <c r="I42" s="6" t="n">
        <v>2</v>
      </c>
      <c r="J42" s="6" t="n">
        <v>2</v>
      </c>
      <c r="K42" s="8" t="s">
        <v>59</v>
      </c>
      <c r="L42" s="6" t="n">
        <f aca="false">ROUND(J42*G42/I42,2)</f>
        <v>2</v>
      </c>
      <c r="M42" s="10" t="s">
        <v>23</v>
      </c>
      <c r="N42" s="10" t="s">
        <v>23</v>
      </c>
      <c r="O42" s="8" t="s">
        <v>29</v>
      </c>
    </row>
    <row r="43" customFormat="false" ht="15" hidden="false" customHeight="false" outlineLevel="0" collapsed="false">
      <c r="A43" s="6" t="n">
        <v>39</v>
      </c>
      <c r="B43" s="7" t="s">
        <v>113</v>
      </c>
      <c r="C43" s="8" t="s">
        <v>115</v>
      </c>
      <c r="D43" s="9" t="s">
        <v>19</v>
      </c>
      <c r="E43" s="9" t="s">
        <v>49</v>
      </c>
      <c r="F43" s="9" t="s">
        <v>21</v>
      </c>
      <c r="G43" s="6" t="n">
        <v>3</v>
      </c>
      <c r="H43" s="9" t="s">
        <v>21</v>
      </c>
      <c r="I43" s="6" t="n">
        <v>3</v>
      </c>
      <c r="J43" s="6" t="n">
        <v>2</v>
      </c>
      <c r="K43" s="8" t="s">
        <v>116</v>
      </c>
      <c r="L43" s="6" t="n">
        <f aca="false">ROUND(J43*G43/I43,2)</f>
        <v>2</v>
      </c>
      <c r="M43" s="10" t="s">
        <v>23</v>
      </c>
      <c r="N43" s="11" t="s">
        <v>24</v>
      </c>
      <c r="O43" s="7" t="s">
        <v>117</v>
      </c>
    </row>
    <row r="44" customFormat="false" ht="15" hidden="false" customHeight="false" outlineLevel="0" collapsed="false">
      <c r="A44" s="6" t="n">
        <v>40</v>
      </c>
      <c r="B44" s="7" t="s">
        <v>113</v>
      </c>
      <c r="C44" s="8" t="s">
        <v>118</v>
      </c>
      <c r="D44" s="9" t="s">
        <v>19</v>
      </c>
      <c r="E44" s="9" t="s">
        <v>49</v>
      </c>
      <c r="F44" s="9" t="s">
        <v>27</v>
      </c>
      <c r="G44" s="6" t="n">
        <v>2</v>
      </c>
      <c r="H44" s="9" t="s">
        <v>27</v>
      </c>
      <c r="I44" s="6" t="n">
        <v>2</v>
      </c>
      <c r="J44" s="6" t="n">
        <v>2</v>
      </c>
      <c r="K44" s="8" t="s">
        <v>119</v>
      </c>
      <c r="L44" s="6" t="n">
        <f aca="false">ROUND(J44*G44/I44,2)</f>
        <v>2</v>
      </c>
      <c r="M44" s="10" t="s">
        <v>23</v>
      </c>
      <c r="N44" s="10" t="s">
        <v>23</v>
      </c>
      <c r="O44" s="8" t="s">
        <v>120</v>
      </c>
    </row>
    <row r="45" customFormat="false" ht="15" hidden="false" customHeight="false" outlineLevel="0" collapsed="false">
      <c r="A45" s="6" t="n">
        <v>41</v>
      </c>
      <c r="B45" s="7" t="s">
        <v>113</v>
      </c>
      <c r="C45" s="8" t="s">
        <v>121</v>
      </c>
      <c r="D45" s="9" t="s">
        <v>19</v>
      </c>
      <c r="E45" s="9" t="s">
        <v>49</v>
      </c>
      <c r="F45" s="9" t="s">
        <v>43</v>
      </c>
      <c r="G45" s="6" t="n">
        <v>1</v>
      </c>
      <c r="H45" s="9" t="s">
        <v>27</v>
      </c>
      <c r="I45" s="6" t="n">
        <v>2</v>
      </c>
      <c r="J45" s="6" t="n">
        <v>2</v>
      </c>
      <c r="K45" s="8" t="s">
        <v>62</v>
      </c>
      <c r="L45" s="6" t="n">
        <f aca="false">ROUND(J45*G45/I45,2)</f>
        <v>1</v>
      </c>
      <c r="M45" s="10" t="s">
        <v>23</v>
      </c>
      <c r="N45" s="10" t="s">
        <v>23</v>
      </c>
      <c r="O45" s="7" t="s">
        <v>122</v>
      </c>
    </row>
    <row r="46" customFormat="false" ht="15" hidden="false" customHeight="false" outlineLevel="0" collapsed="false">
      <c r="A46" s="6" t="n">
        <v>42</v>
      </c>
      <c r="B46" s="7" t="s">
        <v>113</v>
      </c>
      <c r="C46" s="8" t="s">
        <v>123</v>
      </c>
      <c r="D46" s="9" t="s">
        <v>19</v>
      </c>
      <c r="E46" s="9" t="s">
        <v>49</v>
      </c>
      <c r="F46" s="9" t="s">
        <v>27</v>
      </c>
      <c r="G46" s="6" t="n">
        <v>2</v>
      </c>
      <c r="H46" s="9" t="s">
        <v>27</v>
      </c>
      <c r="I46" s="6" t="n">
        <v>2</v>
      </c>
      <c r="J46" s="6" t="n">
        <v>2</v>
      </c>
      <c r="K46" s="8" t="s">
        <v>28</v>
      </c>
      <c r="L46" s="6" t="n">
        <f aca="false">ROUND(J46*G46/I46,2)</f>
        <v>2</v>
      </c>
      <c r="M46" s="12" t="s">
        <v>24</v>
      </c>
      <c r="N46" s="12" t="s">
        <v>24</v>
      </c>
      <c r="O46" s="8" t="s">
        <v>29</v>
      </c>
    </row>
    <row r="47" customFormat="false" ht="15" hidden="false" customHeight="false" outlineLevel="0" collapsed="false">
      <c r="A47" s="6" t="n">
        <v>43</v>
      </c>
      <c r="B47" s="7" t="s">
        <v>113</v>
      </c>
      <c r="C47" s="8" t="s">
        <v>124</v>
      </c>
      <c r="D47" s="9" t="s">
        <v>19</v>
      </c>
      <c r="E47" s="9" t="s">
        <v>49</v>
      </c>
      <c r="F47" s="9" t="s">
        <v>43</v>
      </c>
      <c r="G47" s="6" t="n">
        <v>1</v>
      </c>
      <c r="H47" s="9" t="s">
        <v>43</v>
      </c>
      <c r="I47" s="6" t="n">
        <v>1</v>
      </c>
      <c r="J47" s="6" t="n">
        <v>2</v>
      </c>
      <c r="K47" s="8" t="s">
        <v>101</v>
      </c>
      <c r="L47" s="6" t="n">
        <f aca="false">ROUND(J47*G47/I47,2)</f>
        <v>2</v>
      </c>
      <c r="M47" s="12" t="s">
        <v>24</v>
      </c>
      <c r="N47" s="12" t="s">
        <v>24</v>
      </c>
      <c r="O47" s="8" t="s">
        <v>29</v>
      </c>
    </row>
    <row r="48" customFormat="false" ht="15" hidden="false" customHeight="false" outlineLevel="0" collapsed="false">
      <c r="A48" s="6" t="n">
        <v>44</v>
      </c>
      <c r="B48" s="7" t="s">
        <v>125</v>
      </c>
      <c r="C48" s="8" t="s">
        <v>126</v>
      </c>
      <c r="D48" s="9" t="s">
        <v>69</v>
      </c>
      <c r="E48" s="9" t="s">
        <v>70</v>
      </c>
      <c r="F48" s="9" t="s">
        <v>43</v>
      </c>
      <c r="G48" s="6" t="n">
        <v>1</v>
      </c>
      <c r="H48" s="9" t="s">
        <v>27</v>
      </c>
      <c r="I48" s="6" t="n">
        <v>2</v>
      </c>
      <c r="J48" s="6" t="n">
        <v>3</v>
      </c>
      <c r="K48" s="8" t="s">
        <v>127</v>
      </c>
      <c r="L48" s="6" t="n">
        <f aca="false">ROUND(J48*G48/I48,2)</f>
        <v>1.5</v>
      </c>
      <c r="M48" s="13" t="s">
        <v>51</v>
      </c>
      <c r="N48" s="13" t="s">
        <v>51</v>
      </c>
      <c r="O48" s="7" t="s">
        <v>128</v>
      </c>
    </row>
    <row r="49" customFormat="false" ht="15" hidden="false" customHeight="false" outlineLevel="0" collapsed="false">
      <c r="A49" s="6" t="n">
        <v>45</v>
      </c>
      <c r="B49" s="7" t="s">
        <v>125</v>
      </c>
      <c r="C49" s="8" t="s">
        <v>129</v>
      </c>
      <c r="D49" s="9" t="s">
        <v>130</v>
      </c>
      <c r="E49" s="9" t="s">
        <v>70</v>
      </c>
      <c r="F49" s="9" t="s">
        <v>27</v>
      </c>
      <c r="G49" s="6" t="n">
        <v>2</v>
      </c>
      <c r="H49" s="9" t="s">
        <v>27</v>
      </c>
      <c r="I49" s="6" t="n">
        <v>2</v>
      </c>
      <c r="J49" s="6" t="n">
        <v>3</v>
      </c>
      <c r="K49" s="8" t="s">
        <v>131</v>
      </c>
      <c r="L49" s="6" t="n">
        <f aca="false">ROUND(J49*G49/I49,2)</f>
        <v>3</v>
      </c>
      <c r="M49" s="13" t="s">
        <v>51</v>
      </c>
      <c r="N49" s="13" t="s">
        <v>51</v>
      </c>
      <c r="O49" s="8" t="s">
        <v>132</v>
      </c>
    </row>
    <row r="50" customFormat="false" ht="15" hidden="false" customHeight="false" outlineLevel="0" collapsed="false">
      <c r="A50" s="6" t="n">
        <v>46</v>
      </c>
      <c r="B50" s="7" t="s">
        <v>125</v>
      </c>
      <c r="C50" s="8" t="s">
        <v>133</v>
      </c>
      <c r="D50" s="9" t="s">
        <v>130</v>
      </c>
      <c r="E50" s="9" t="s">
        <v>70</v>
      </c>
      <c r="F50" s="9" t="s">
        <v>43</v>
      </c>
      <c r="G50" s="6" t="n">
        <v>1</v>
      </c>
      <c r="H50" s="9" t="s">
        <v>43</v>
      </c>
      <c r="I50" s="6" t="n">
        <v>1</v>
      </c>
      <c r="J50" s="6" t="n">
        <v>3</v>
      </c>
      <c r="K50" s="8" t="s">
        <v>101</v>
      </c>
      <c r="L50" s="6" t="n">
        <f aca="false">ROUND(J50*G50/I50,2)</f>
        <v>3</v>
      </c>
      <c r="M50" s="13" t="s">
        <v>51</v>
      </c>
      <c r="N50" s="13" t="s">
        <v>51</v>
      </c>
      <c r="O50" s="8" t="s">
        <v>134</v>
      </c>
    </row>
    <row r="51" customFormat="false" ht="15" hidden="false" customHeight="false" outlineLevel="0" collapsed="false">
      <c r="A51" s="6" t="n">
        <v>47</v>
      </c>
      <c r="B51" s="7" t="s">
        <v>125</v>
      </c>
      <c r="C51" s="8" t="s">
        <v>135</v>
      </c>
      <c r="D51" s="9" t="s">
        <v>130</v>
      </c>
      <c r="E51" s="9" t="s">
        <v>70</v>
      </c>
      <c r="F51" s="9" t="s">
        <v>43</v>
      </c>
      <c r="G51" s="6" t="n">
        <v>1</v>
      </c>
      <c r="H51" s="9" t="s">
        <v>43</v>
      </c>
      <c r="I51" s="6" t="n">
        <v>1</v>
      </c>
      <c r="J51" s="6" t="n">
        <v>3</v>
      </c>
      <c r="K51" s="8" t="s">
        <v>101</v>
      </c>
      <c r="L51" s="6" t="n">
        <f aca="false">ROUND(J51*G51/I51,2)</f>
        <v>3</v>
      </c>
      <c r="M51" s="13" t="s">
        <v>51</v>
      </c>
      <c r="N51" s="13" t="s">
        <v>51</v>
      </c>
      <c r="O51" s="8" t="s">
        <v>136</v>
      </c>
    </row>
    <row r="52" customFormat="false" ht="15" hidden="false" customHeight="false" outlineLevel="0" collapsed="false">
      <c r="A52" s="6" t="n">
        <v>48</v>
      </c>
      <c r="B52" s="7" t="s">
        <v>125</v>
      </c>
      <c r="C52" s="8" t="s">
        <v>137</v>
      </c>
      <c r="D52" s="9" t="s">
        <v>130</v>
      </c>
      <c r="E52" s="9" t="s">
        <v>70</v>
      </c>
      <c r="F52" s="9" t="s">
        <v>27</v>
      </c>
      <c r="G52" s="6" t="n">
        <v>2</v>
      </c>
      <c r="H52" s="9" t="s">
        <v>27</v>
      </c>
      <c r="I52" s="6" t="n">
        <v>2</v>
      </c>
      <c r="J52" s="6" t="n">
        <v>3</v>
      </c>
      <c r="K52" s="8" t="s">
        <v>40</v>
      </c>
      <c r="L52" s="6" t="n">
        <f aca="false">ROUND(J52*G52/I52,2)</f>
        <v>3</v>
      </c>
      <c r="M52" s="13" t="s">
        <v>51</v>
      </c>
      <c r="N52" s="13" t="s">
        <v>51</v>
      </c>
      <c r="O52" s="8" t="s">
        <v>29</v>
      </c>
    </row>
    <row r="53" customFormat="false" ht="15" hidden="false" customHeight="false" outlineLevel="0" collapsed="false">
      <c r="A53" s="6" t="n">
        <v>49</v>
      </c>
      <c r="B53" s="7" t="s">
        <v>125</v>
      </c>
      <c r="C53" s="8" t="s">
        <v>138</v>
      </c>
      <c r="D53" s="9" t="s">
        <v>130</v>
      </c>
      <c r="E53" s="9" t="s">
        <v>70</v>
      </c>
      <c r="F53" s="9" t="s">
        <v>27</v>
      </c>
      <c r="G53" s="6" t="n">
        <v>2</v>
      </c>
      <c r="H53" s="9" t="s">
        <v>27</v>
      </c>
      <c r="I53" s="6" t="n">
        <v>2</v>
      </c>
      <c r="J53" s="6" t="n">
        <v>3</v>
      </c>
      <c r="K53" s="8" t="s">
        <v>139</v>
      </c>
      <c r="L53" s="6" t="n">
        <f aca="false">ROUND(J53*G53/I53,2)</f>
        <v>3</v>
      </c>
      <c r="M53" s="10" t="s">
        <v>23</v>
      </c>
      <c r="N53" s="10" t="s">
        <v>23</v>
      </c>
      <c r="O53" s="8" t="s">
        <v>29</v>
      </c>
    </row>
    <row r="54" customFormat="false" ht="15" hidden="false" customHeight="false" outlineLevel="0" collapsed="false">
      <c r="A54" s="6" t="n">
        <v>50</v>
      </c>
      <c r="B54" s="7" t="s">
        <v>125</v>
      </c>
      <c r="C54" s="8" t="s">
        <v>140</v>
      </c>
      <c r="D54" s="9" t="s">
        <v>19</v>
      </c>
      <c r="E54" s="9" t="s">
        <v>70</v>
      </c>
      <c r="F54" s="9" t="s">
        <v>43</v>
      </c>
      <c r="G54" s="6" t="n">
        <v>1</v>
      </c>
      <c r="H54" s="9" t="s">
        <v>43</v>
      </c>
      <c r="I54" s="6" t="n">
        <v>1</v>
      </c>
      <c r="J54" s="6" t="n">
        <v>3</v>
      </c>
      <c r="K54" s="8" t="s">
        <v>62</v>
      </c>
      <c r="L54" s="6" t="n">
        <f aca="false">ROUND(J54*G54/I54,2)</f>
        <v>3</v>
      </c>
      <c r="M54" s="10" t="s">
        <v>23</v>
      </c>
      <c r="N54" s="10" t="s">
        <v>23</v>
      </c>
      <c r="O54" s="8" t="s">
        <v>29</v>
      </c>
    </row>
  </sheetData>
  <autoFilter ref="A4:O54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0"/>
    <col collapsed="false" customWidth="true" hidden="false" outlineLevel="0" max="6" min="6" style="1" width="60"/>
  </cols>
  <sheetData>
    <row r="1" customFormat="false" ht="27.75" hidden="false" customHeight="true" outlineLevel="0" collapsed="false">
      <c r="A1" s="15" t="s">
        <v>141</v>
      </c>
      <c r="B1" s="15"/>
      <c r="C1" s="15"/>
      <c r="D1" s="15"/>
      <c r="E1" s="15"/>
      <c r="F1" s="15"/>
    </row>
    <row r="3" customFormat="false" ht="24" hidden="false" customHeight="true" outlineLevel="0" collapsed="false">
      <c r="A3" s="16" t="s">
        <v>3</v>
      </c>
      <c r="B3" s="16" t="s">
        <v>142</v>
      </c>
      <c r="C3" s="16" t="s">
        <v>143</v>
      </c>
      <c r="D3" s="16" t="s">
        <v>144</v>
      </c>
      <c r="E3" s="16" t="s">
        <v>145</v>
      </c>
      <c r="F3" s="16" t="s">
        <v>146</v>
      </c>
    </row>
    <row r="4" customFormat="false" ht="15" hidden="false" customHeight="false" outlineLevel="0" collapsed="false">
      <c r="A4" s="17" t="s">
        <v>147</v>
      </c>
      <c r="B4" s="18" t="n">
        <f aca="false">COUNTIF('키워드 검증'!$B$5:$B$54,A4&amp;"*")</f>
        <v>8</v>
      </c>
      <c r="C4" s="18" t="n">
        <f aca="false">COUNTIFS('키워드 검증'!$B$5:$B$54,A4&amp;"*",'키워드 검증'!$N$5:$N$54,"P1")</f>
        <v>0</v>
      </c>
      <c r="D4" s="18" t="n">
        <f aca="false">COUNTIFS('키워드 검증'!$B$5:$B$54,A4&amp;"*",'키워드 검증'!$N$5:$N$54,"P2")</f>
        <v>1</v>
      </c>
      <c r="E4" s="18" t="n">
        <f aca="false">COUNTIFS('키워드 검증'!$B$5:$B$54,A4&amp;"*",'키워드 검증'!$N$5:$N$54,"P3")</f>
        <v>7</v>
      </c>
      <c r="F4" s="19" t="s">
        <v>148</v>
      </c>
    </row>
    <row r="5" customFormat="false" ht="29.85" hidden="false" customHeight="false" outlineLevel="0" collapsed="false">
      <c r="A5" s="17" t="s">
        <v>149</v>
      </c>
      <c r="B5" s="18" t="n">
        <f aca="false">COUNTIF('키워드 검증'!$B$5:$B$54,A5&amp;"*")</f>
        <v>10</v>
      </c>
      <c r="C5" s="18" t="n">
        <f aca="false">COUNTIFS('키워드 검증'!$B$5:$B$54,A5&amp;"*",'키워드 검증'!$N$5:$N$54,"P1")</f>
        <v>4</v>
      </c>
      <c r="D5" s="18" t="n">
        <f aca="false">COUNTIFS('키워드 검증'!$B$5:$B$54,A5&amp;"*",'키워드 검증'!$N$5:$N$54,"P2")</f>
        <v>6</v>
      </c>
      <c r="E5" s="18" t="n">
        <f aca="false">COUNTIFS('키워드 검증'!$B$5:$B$54,A5&amp;"*",'키워드 검증'!$N$5:$N$54,"P3")</f>
        <v>0</v>
      </c>
      <c r="F5" s="19" t="s">
        <v>150</v>
      </c>
    </row>
    <row r="6" customFormat="false" ht="15" hidden="false" customHeight="false" outlineLevel="0" collapsed="false">
      <c r="A6" s="17" t="s">
        <v>151</v>
      </c>
      <c r="B6" s="18" t="n">
        <f aca="false">COUNTIF('키워드 검증'!$B$5:$B$54,A6&amp;"*")</f>
        <v>9</v>
      </c>
      <c r="C6" s="18" t="n">
        <f aca="false">COUNTIFS('키워드 검증'!$B$5:$B$54,A6&amp;"*",'키워드 검증'!$N$5:$N$54,"P1")</f>
        <v>1</v>
      </c>
      <c r="D6" s="18" t="n">
        <f aca="false">COUNTIFS('키워드 검증'!$B$5:$B$54,A6&amp;"*",'키워드 검증'!$N$5:$N$54,"P2")</f>
        <v>2</v>
      </c>
      <c r="E6" s="18" t="n">
        <f aca="false">COUNTIFS('키워드 검증'!$B$5:$B$54,A6&amp;"*",'키워드 검증'!$N$5:$N$54,"P3")</f>
        <v>6</v>
      </c>
      <c r="F6" s="19" t="s">
        <v>152</v>
      </c>
    </row>
    <row r="7" customFormat="false" ht="15" hidden="false" customHeight="false" outlineLevel="0" collapsed="false">
      <c r="A7" s="17" t="s">
        <v>153</v>
      </c>
      <c r="B7" s="18" t="n">
        <f aca="false">COUNTIF('키워드 검증'!$B$5:$B$54,A7&amp;"*")</f>
        <v>10</v>
      </c>
      <c r="C7" s="18" t="n">
        <f aca="false">COUNTIFS('키워드 검증'!$B$5:$B$54,A7&amp;"*",'키워드 검증'!$N$5:$N$54,"P1")</f>
        <v>5</v>
      </c>
      <c r="D7" s="18" t="n">
        <f aca="false">COUNTIFS('키워드 검증'!$B$5:$B$54,A7&amp;"*",'키워드 검증'!$N$5:$N$54,"P2")</f>
        <v>5</v>
      </c>
      <c r="E7" s="18" t="n">
        <f aca="false">COUNTIFS('키워드 검증'!$B$5:$B$54,A7&amp;"*",'키워드 검증'!$N$5:$N$54,"P3")</f>
        <v>0</v>
      </c>
      <c r="F7" s="17" t="s">
        <v>154</v>
      </c>
    </row>
    <row r="8" customFormat="false" ht="15" hidden="false" customHeight="false" outlineLevel="0" collapsed="false">
      <c r="A8" s="17" t="s">
        <v>155</v>
      </c>
      <c r="B8" s="18" t="n">
        <f aca="false">COUNTIF('키워드 검증'!$B$5:$B$54,A8&amp;"*")</f>
        <v>6</v>
      </c>
      <c r="C8" s="18" t="n">
        <f aca="false">COUNTIFS('키워드 검증'!$B$5:$B$54,A8&amp;"*",'키워드 검증'!$N$5:$N$54,"P1")</f>
        <v>0</v>
      </c>
      <c r="D8" s="18" t="n">
        <f aca="false">COUNTIFS('키워드 검증'!$B$5:$B$54,A8&amp;"*",'키워드 검증'!$N$5:$N$54,"P2")</f>
        <v>3</v>
      </c>
      <c r="E8" s="18" t="n">
        <f aca="false">COUNTIFS('키워드 검증'!$B$5:$B$54,A8&amp;"*",'키워드 검증'!$N$5:$N$54,"P3")</f>
        <v>3</v>
      </c>
      <c r="F8" s="19" t="s">
        <v>156</v>
      </c>
    </row>
    <row r="9" customFormat="false" ht="15" hidden="false" customHeight="false" outlineLevel="0" collapsed="false">
      <c r="A9" s="17" t="s">
        <v>157</v>
      </c>
      <c r="B9" s="18" t="n">
        <f aca="false">COUNTIF('키워드 검증'!$B$5:$B$54,A9&amp;"*")</f>
        <v>7</v>
      </c>
      <c r="C9" s="18" t="n">
        <f aca="false">COUNTIFS('키워드 검증'!$B$5:$B$54,A9&amp;"*",'키워드 검증'!$N$5:$N$54,"P1")</f>
        <v>5</v>
      </c>
      <c r="D9" s="18" t="n">
        <f aca="false">COUNTIFS('키워드 검증'!$B$5:$B$54,A9&amp;"*",'키워드 검증'!$N$5:$N$54,"P2")</f>
        <v>2</v>
      </c>
      <c r="E9" s="18" t="n">
        <f aca="false">COUNTIFS('키워드 검증'!$B$5:$B$54,A9&amp;"*",'키워드 검증'!$N$5:$N$54,"P3")</f>
        <v>0</v>
      </c>
      <c r="F9" s="19" t="s">
        <v>158</v>
      </c>
    </row>
    <row r="10" customFormat="false" ht="15" hidden="false" customHeight="false" outlineLevel="0" collapsed="false">
      <c r="A10" s="20" t="s">
        <v>159</v>
      </c>
      <c r="B10" s="21" t="n">
        <f aca="false">SUM(B4:B9)</f>
        <v>50</v>
      </c>
      <c r="C10" s="21" t="n">
        <f aca="false">SUM(C4:C9)</f>
        <v>15</v>
      </c>
      <c r="D10" s="21" t="n">
        <f aca="false">SUM(D4:D9)</f>
        <v>19</v>
      </c>
      <c r="E10" s="21" t="n">
        <f aca="false">SUM(E4:E9)</f>
        <v>16</v>
      </c>
      <c r="F10" s="22"/>
    </row>
    <row r="12" customFormat="false" ht="17.15" hidden="false" customHeight="false" outlineLevel="0" collapsed="false">
      <c r="A12" s="23" t="s">
        <v>160</v>
      </c>
      <c r="B12" s="23"/>
      <c r="C12" s="23"/>
      <c r="D12" s="23"/>
      <c r="E12" s="23"/>
      <c r="F12" s="23"/>
    </row>
    <row r="13" customFormat="false" ht="30" hidden="false" customHeight="true" outlineLevel="0" collapsed="false">
      <c r="A13" s="24" t="s">
        <v>161</v>
      </c>
      <c r="B13" s="24"/>
      <c r="C13" s="24"/>
      <c r="D13" s="24"/>
      <c r="E13" s="24"/>
      <c r="F13" s="24"/>
    </row>
    <row r="14" customFormat="false" ht="30" hidden="false" customHeight="true" outlineLevel="0" collapsed="false">
      <c r="A14" s="24" t="s">
        <v>162</v>
      </c>
      <c r="B14" s="24"/>
      <c r="C14" s="24"/>
      <c r="D14" s="24"/>
      <c r="E14" s="24"/>
      <c r="F14" s="24"/>
    </row>
    <row r="15" customFormat="false" ht="30" hidden="false" customHeight="true" outlineLevel="0" collapsed="false">
      <c r="A15" s="24" t="s">
        <v>163</v>
      </c>
      <c r="B15" s="24"/>
      <c r="C15" s="24"/>
      <c r="D15" s="24"/>
      <c r="E15" s="24"/>
      <c r="F15" s="24"/>
    </row>
    <row r="16" customFormat="false" ht="30" hidden="false" customHeight="true" outlineLevel="0" collapsed="false">
      <c r="A16" s="24" t="s">
        <v>164</v>
      </c>
      <c r="B16" s="24"/>
      <c r="C16" s="24"/>
      <c r="D16" s="24"/>
      <c r="E16" s="24"/>
      <c r="F16" s="24"/>
    </row>
    <row r="17" customFormat="false" ht="30" hidden="false" customHeight="true" outlineLevel="0" collapsed="false">
      <c r="A17" s="25" t="s">
        <v>165</v>
      </c>
      <c r="B17" s="25"/>
      <c r="C17" s="25"/>
      <c r="D17" s="25"/>
      <c r="E17" s="25"/>
      <c r="F17" s="25"/>
    </row>
  </sheetData>
  <mergeCells count="7">
    <mergeCell ref="A1:F1"/>
    <mergeCell ref="A12:F12"/>
    <mergeCell ref="A13:F13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15" t="s">
        <v>166</v>
      </c>
      <c r="B1" s="15"/>
      <c r="C1" s="15"/>
      <c r="D1" s="15"/>
    </row>
    <row r="3" customFormat="false" ht="15" hidden="false" customHeight="false" outlineLevel="0" collapsed="false">
      <c r="A3" s="26" t="s">
        <v>167</v>
      </c>
      <c r="B3" s="26" t="s">
        <v>168</v>
      </c>
      <c r="C3" s="26" t="s">
        <v>169</v>
      </c>
      <c r="D3" s="27" t="s">
        <v>170</v>
      </c>
    </row>
    <row r="4" customFormat="false" ht="42" hidden="false" customHeight="true" outlineLevel="0" collapsed="false">
      <c r="A4" s="19" t="s">
        <v>171</v>
      </c>
      <c r="B4" s="19" t="s">
        <v>172</v>
      </c>
      <c r="C4" s="19" t="s">
        <v>173</v>
      </c>
      <c r="D4" s="17" t="s">
        <v>174</v>
      </c>
    </row>
    <row r="5" customFormat="false" ht="42" hidden="false" customHeight="true" outlineLevel="0" collapsed="false">
      <c r="A5" s="19" t="s">
        <v>175</v>
      </c>
      <c r="B5" s="19" t="s">
        <v>176</v>
      </c>
      <c r="C5" s="19" t="s">
        <v>177</v>
      </c>
      <c r="D5" s="17" t="s">
        <v>178</v>
      </c>
    </row>
    <row r="6" customFormat="false" ht="42" hidden="false" customHeight="true" outlineLevel="0" collapsed="false">
      <c r="A6" s="19" t="s">
        <v>179</v>
      </c>
      <c r="B6" s="19" t="s">
        <v>180</v>
      </c>
      <c r="C6" s="19" t="s">
        <v>181</v>
      </c>
      <c r="D6" s="17" t="s">
        <v>182</v>
      </c>
    </row>
    <row r="7" customFormat="false" ht="42" hidden="false" customHeight="true" outlineLevel="0" collapsed="false">
      <c r="A7" s="19" t="s">
        <v>183</v>
      </c>
      <c r="B7" s="19" t="s">
        <v>184</v>
      </c>
      <c r="C7" s="17" t="s">
        <v>185</v>
      </c>
      <c r="D7" s="19" t="s">
        <v>186</v>
      </c>
    </row>
    <row r="8" customFormat="false" ht="42" hidden="false" customHeight="true" outlineLevel="0" collapsed="false">
      <c r="A8" s="17" t="s">
        <v>187</v>
      </c>
      <c r="B8" s="17" t="s">
        <v>188</v>
      </c>
      <c r="C8" s="17" t="s">
        <v>189</v>
      </c>
      <c r="D8" s="17" t="s">
        <v>190</v>
      </c>
    </row>
    <row r="9" customFormat="false" ht="42" hidden="false" customHeight="true" outlineLevel="0" collapsed="false">
      <c r="A9" s="19" t="s">
        <v>191</v>
      </c>
      <c r="B9" s="19" t="s">
        <v>192</v>
      </c>
      <c r="C9" s="19" t="s">
        <v>193</v>
      </c>
      <c r="D9" s="17" t="s">
        <v>194</v>
      </c>
    </row>
    <row r="10" customFormat="false" ht="42" hidden="false" customHeight="true" outlineLevel="0" collapsed="false">
      <c r="A10" s="19" t="s">
        <v>195</v>
      </c>
      <c r="B10" s="19" t="s">
        <v>196</v>
      </c>
      <c r="C10" s="19" t="s">
        <v>197</v>
      </c>
      <c r="D10" s="17" t="s">
        <v>198</v>
      </c>
    </row>
    <row r="11" customFormat="false" ht="42" hidden="false" customHeight="true" outlineLevel="0" collapsed="false">
      <c r="A11" s="19" t="s">
        <v>199</v>
      </c>
      <c r="B11" s="19" t="s">
        <v>200</v>
      </c>
      <c r="C11" s="19" t="s">
        <v>201</v>
      </c>
      <c r="D11" s="17" t="s">
        <v>202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8"/>
  </cols>
  <sheetData>
    <row r="1" customFormat="false" ht="27.75" hidden="false" customHeight="true" outlineLevel="0" collapsed="false">
      <c r="A1" s="15" t="s">
        <v>203</v>
      </c>
      <c r="B1" s="15"/>
    </row>
    <row r="3" customFormat="false" ht="57.75" hidden="false" customHeight="true" outlineLevel="0" collapsed="false">
      <c r="A3" s="28" t="s">
        <v>204</v>
      </c>
      <c r="B3" s="19" t="s">
        <v>205</v>
      </c>
    </row>
    <row r="4" customFormat="false" ht="57.75" hidden="false" customHeight="true" outlineLevel="0" collapsed="false">
      <c r="A4" s="28" t="s">
        <v>206</v>
      </c>
      <c r="B4" s="17" t="s">
        <v>207</v>
      </c>
    </row>
    <row r="5" customFormat="false" ht="57.75" hidden="false" customHeight="true" outlineLevel="0" collapsed="false">
      <c r="A5" s="28" t="s">
        <v>208</v>
      </c>
      <c r="B5" s="17" t="s">
        <v>209</v>
      </c>
    </row>
    <row r="6" customFormat="false" ht="57.75" hidden="false" customHeight="true" outlineLevel="0" collapsed="false">
      <c r="A6" s="28" t="s">
        <v>210</v>
      </c>
      <c r="B6" s="17" t="s">
        <v>211</v>
      </c>
    </row>
    <row r="7" customFormat="false" ht="57.75" hidden="false" customHeight="true" outlineLevel="0" collapsed="false">
      <c r="A7" s="28" t="s">
        <v>212</v>
      </c>
      <c r="B7" s="17" t="s">
        <v>213</v>
      </c>
    </row>
    <row r="8" customFormat="false" ht="57.75" hidden="false" customHeight="true" outlineLevel="0" collapsed="false">
      <c r="A8" s="28" t="s">
        <v>214</v>
      </c>
      <c r="B8" s="19" t="s">
        <v>215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2026-06-28T13:33:31Z</dcterms:created>
  <dc:creator>openpyxl</dc:creator>
  <dc:description/>
  <dc:language>en-US</dc:language>
  <cp:lastModifiedBy/>
  <dcterms:modified xsi:type="dcterms:W3CDTF">2026-06-28T13:34:36Z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